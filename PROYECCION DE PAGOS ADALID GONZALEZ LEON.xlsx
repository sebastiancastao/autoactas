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POPULAR" sheetId="1" r:id="rId5"/>
    <sheet state="visible" name="BANCO" sheetId="2" r:id="rId6"/>
    <sheet state="visible" name="TUYA" sheetId="3" r:id="rId7"/>
    <sheet state="visible" name="FUNDACION MUNDO MUJER" sheetId="4" r:id="rId8"/>
    <sheet state="visible" name="CEMCOP" sheetId="5" r:id="rId9"/>
    <sheet state="visible" name="ADELANTE" sheetId="6" r:id="rId10"/>
    <sheet state="visible" name="YANBAL DE" sheetId="7" r:id="rId11"/>
    <sheet state="visible" name="REFINANCIA ADM" sheetId="8" r:id="rId12"/>
    <sheet state="visible" name="PRA GROUP" sheetId="9" r:id="rId13"/>
    <sheet state="visible" name="CLARO TEC MOV" sheetId="10" r:id="rId14"/>
    <sheet state="visible" name="COLOMBIAMOVIL" sheetId="11" r:id="rId15"/>
    <sheet state="visible" name="COOPERATIVA" sheetId="12" r:id="rId16"/>
    <sheet state="visible" name="SUMMA OPE S.A.S." sheetId="13" r:id="rId17"/>
    <sheet state="visible" name="MOVISTAR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aldiaempresarios:  
Cr￩dito hasta 150 meses.
</t>
      </text>
    </comment>
  </commentList>
</comments>
</file>

<file path=xl/sharedStrings.xml><?xml version="1.0" encoding="utf-8"?>
<sst xmlns="http://schemas.openxmlformats.org/spreadsheetml/2006/main" count="667" uniqueCount="48">
  <si>
    <t>TABLA DE AMORTIZACION DE CREDITOS CON CUOTAS FIJAS PARA BANCO POPULAR</t>
  </si>
  <si>
    <t>5 CLASE</t>
  </si>
  <si>
    <t>DIGITE LA INFORMACIÓN</t>
  </si>
  <si>
    <t>NOMBRE</t>
  </si>
  <si>
    <t>Valor del Crédito</t>
  </si>
  <si>
    <t>ADALID GONZALEZ LEON</t>
  </si>
  <si>
    <t>Tasa (mensual):</t>
  </si>
  <si>
    <t xml:space="preserve">IDENTIFICACIÓN </t>
  </si>
  <si>
    <t>Tiempo (meses):</t>
  </si>
  <si>
    <t>Fecha del crédito</t>
  </si>
  <si>
    <t>CENTRO DE CONCILIACIÓN</t>
  </si>
  <si>
    <t>Día</t>
  </si>
  <si>
    <t>Mes</t>
  </si>
  <si>
    <t>Año</t>
  </si>
  <si>
    <t>FUNDASEER</t>
  </si>
  <si>
    <t xml:space="preserve">TABLA DE AMORTIZACION CUOTA FIJA </t>
  </si>
  <si>
    <t>MONTO DEL CREDITO</t>
  </si>
  <si>
    <t xml:space="preserve">valor total acumulado </t>
  </si>
  <si>
    <t>Cuota</t>
  </si>
  <si>
    <t>Vencimiento</t>
  </si>
  <si>
    <t>Saldo capital</t>
  </si>
  <si>
    <t>Abono adicional a capital</t>
  </si>
  <si>
    <t>Abono capital</t>
  </si>
  <si>
    <t>Intereses</t>
  </si>
  <si>
    <t>Total cuota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</si>
  <si>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</si>
  <si>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</si>
  <si>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</si>
  <si>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</si>
  <si>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</si>
  <si>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</si>
  <si>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</si>
  <si>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</si>
  <si>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</si>
  <si>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</si>
  <si>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</si>
  <si>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</si>
  <si>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TABLA DE AMORTIZACION DE CREDITOS CON CUOTAS FIJAS PARA BANCO
SERFINANZA S.A.</t>
  </si>
  <si>
    <t>TABLA DE AMORTIZACION DE CREDITOS CON CUOTAS FIJAS PARA TUYA</t>
  </si>
  <si>
    <t>TABLA DE AMORTIZACION DE CREDITOS CON CUOTAS FIJAS PARA FUNDACION MUNDO MUJER
AHORRO</t>
  </si>
  <si>
    <t>TABLA DE AMORTIZACION DE CREDITOS CON CUOTAS FIJAS PARA CEMCOP</t>
  </si>
  <si>
    <t>TABLA DE AMORTIZACION DE CREDITOS CON CUOTAS FIJAS PARA ADELANTE
SOLUCIONES</t>
  </si>
  <si>
    <t>TABLA DE AMORTIZACION DE CREDITOS CON CUOTAS FIJAS PARA SUMMA OPE SAS
AHORRO</t>
  </si>
  <si>
    <t>TABLA DE AMORTIZACION DE CREDITOS CON CUOTAS FIJAS PARA CLARO TEC MOV
AHORRO</t>
  </si>
  <si>
    <t>TABLA DE AMORTIZACION DE CREDITOS CON CUOTAS FIJAS PARA COLOMBIAMOVIL
AHORRO</t>
  </si>
  <si>
    <t>TABLA DE AMORTIZACION DE CREDITOS CON CUOTAS FIJAS PARA COOPERATIVA
SOLUNICOOP
AHORRO</t>
  </si>
  <si>
    <t>TABLA DE AMORTIZACION DE CREDITOS CON CUOTAS FIJAS PARA SUMMA OPE S.A.S.
SOLUNICOOP
AHORRO</t>
  </si>
  <si>
    <t>TABLA DE AMORTIZACION DE CREDITOS CON CUOTAS FIJAS PARA MOVISTAR
COLOMBIA
SOLUNICOOP
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</si>
</sst>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&quot;$&quot;\ * #,##0_ ;_ &quot;$&quot;\ * \-#,##0_ ;_ &quot;$&quot;\ * &quot;-&quot;??_ ;_ @_ "/>
    <numFmt numFmtId="165" formatCode="_ &quot;$&quot;\ * #,##0.00_ ;_ &quot;$&quot;\ * \-#,##0.00_ ;_ &quot;$&quot;\ * &quot;-&quot;??_ ;_ @_ "/>
    <numFmt numFmtId="166" formatCode="0.0000%"/>
    <numFmt numFmtId="167" formatCode="_(&quot;$&quot;\ * #,##0_);_(&quot;$&quot;\ * \(#,##0\);_(&quot;$&quot;\ * &quot;-&quot;??_);_(@_)"/>
    <numFmt numFmtId="168" formatCode="mmm"/>
  </numFmts>
  <fonts count="14">
    <font>
      <sz val="11.0"/>
      <color theme="1"/>
      <name val="Calibri"/>
      <scheme val="minor"/>
    </font>
    <font>
      <sz val="10.0"/>
      <color rgb="FFFFFFFF"/>
      <name val="Century Gothic"/>
    </font>
    <font>
      <sz val="10.0"/>
      <color theme="1"/>
      <name val="Century Gothic"/>
    </font>
    <font>
      <b/>
      <sz val="18.0"/>
      <color theme="1"/>
      <name val="Century Gothic"/>
    </font>
    <font/>
    <font>
      <b/>
      <sz val="8.0"/>
      <color theme="1"/>
      <name val="Century Gothic"/>
    </font>
    <font>
      <b/>
      <sz val="11.0"/>
      <color rgb="FFFFFFFF"/>
      <name val="Century Gothic"/>
    </font>
    <font>
      <b/>
      <sz val="11.0"/>
      <color theme="1"/>
      <name val="Century Gothic"/>
    </font>
    <font>
      <b/>
      <sz val="10.0"/>
      <color theme="1"/>
      <name val="Century Gothic"/>
    </font>
    <font>
      <b/>
      <sz val="9.0"/>
      <color rgb="FF000000"/>
      <name val="Calibri"/>
    </font>
    <font>
      <sz val="9.0"/>
      <color theme="1"/>
      <name val="Century Gothic"/>
    </font>
    <font>
      <b/>
      <sz val="9.0"/>
      <color theme="1"/>
      <name val="Century Gothic"/>
    </font>
    <font>
      <sz val="12.0"/>
      <color theme="1"/>
      <name val="Arial"/>
    </font>
    <font>
      <b/>
      <sz val="14.0"/>
      <color rgb="FFFFFFFF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62">
    <border/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ck">
        <color rgb="FF339966"/>
      </left>
      <top style="thick">
        <color rgb="FF339966"/>
      </top>
    </border>
    <border>
      <right style="thick">
        <color rgb="FF339966"/>
      </right>
      <top style="thick">
        <color rgb="FF339966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339966"/>
      </left>
    </border>
    <border>
      <right style="thick">
        <color rgb="FF339966"/>
      </right>
    </border>
    <border>
      <left style="thick">
        <color rgb="FF339966"/>
      </left>
      <top style="thick">
        <color rgb="FF339966"/>
      </top>
      <bottom style="thick">
        <color rgb="FF339966"/>
      </bottom>
    </border>
    <border>
      <top style="thick">
        <color rgb="FF339966"/>
      </top>
      <bottom style="thick">
        <color rgb="FF339966"/>
      </bottom>
    </border>
    <border>
      <right style="thick">
        <color rgb="FF339966"/>
      </right>
      <top style="thick">
        <color rgb="FF339966"/>
      </top>
      <bottom style="thick">
        <color rgb="FF339966"/>
      </bottom>
    </border>
    <border>
      <left/>
      <right style="thin">
        <color rgb="FF000000"/>
      </right>
      <top/>
    </border>
    <border>
      <left/>
      <right/>
      <top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</border>
    <border>
      <left/>
      <right/>
    </border>
    <border>
      <left style="thick">
        <color rgb="FF339966"/>
      </left>
      <top style="thick">
        <color rgb="FF339966"/>
      </top>
      <bottom/>
    </border>
    <border>
      <top style="thick">
        <color rgb="FF339966"/>
      </top>
      <bottom/>
    </border>
    <border>
      <right style="thick">
        <color rgb="FF339966"/>
      </right>
      <top style="thick">
        <color rgb="FF339966"/>
      </top>
      <bottom/>
    </border>
    <border>
      <right/>
      <top style="thin">
        <color rgb="FF000000"/>
      </top>
      <bottom/>
    </border>
    <border>
      <left style="thick">
        <color rgb="FF339966"/>
      </left>
      <right style="thick">
        <color rgb="FF339966"/>
      </right>
      <top style="thick">
        <color rgb="FF339966"/>
      </top>
      <bottom style="thick">
        <color rgb="FF339966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/>
      <right/>
      <bottom/>
    </border>
    <border>
      <left style="thick">
        <color rgb="FF339966"/>
      </left>
      <bottom style="thick">
        <color rgb="FF339966"/>
      </bottom>
    </border>
    <border>
      <right style="thick">
        <color rgb="FF339966"/>
      </right>
      <bottom style="thick">
        <color rgb="FF339966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ck">
        <color rgb="FF339966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339966"/>
      </right>
      <top/>
    </border>
    <border>
      <left style="thin">
        <color rgb="FF000000"/>
      </left>
      <top style="thick">
        <color rgb="FF339966"/>
      </top>
      <bottom style="thick">
        <color rgb="FF339966"/>
      </bottom>
    </border>
    <border>
      <right style="thin">
        <color rgb="FF000000"/>
      </right>
      <top style="thick">
        <color rgb="FF339966"/>
      </top>
      <bottom style="thick">
        <color rgb="FF339966"/>
      </bottom>
    </border>
    <border>
      <left style="thin">
        <color rgb="FF000000"/>
      </left>
      <right style="thick">
        <color rgb="FF339966"/>
      </right>
    </border>
    <border>
      <right style="thick">
        <color rgb="FF339966"/>
      </right>
      <top style="thin">
        <color rgb="FF000000"/>
      </top>
      <bottom/>
    </border>
    <border>
      <left style="thin">
        <color rgb="FF000000"/>
      </left>
      <right style="thick">
        <color rgb="FF339966"/>
      </right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2" numFmtId="0" xfId="0" applyFont="1"/>
    <xf borderId="0" fillId="0" fontId="1" numFmtId="0" xfId="0" applyFont="1"/>
    <xf borderId="1" fillId="3" fontId="1" numFmtId="0" xfId="0" applyBorder="1" applyFont="1"/>
    <xf borderId="2" fillId="4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3" fontId="2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2" fillId="4" fontId="6" numFmtId="0" xfId="0" applyAlignment="1" applyBorder="1" applyFont="1">
      <alignment horizontal="center"/>
    </xf>
    <xf borderId="11" fillId="4" fontId="7" numFmtId="164" xfId="0" applyAlignment="1" applyBorder="1" applyFont="1" applyNumberForma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1" fillId="4" fontId="2" numFmtId="0" xfId="0" applyAlignment="1" applyBorder="1" applyFont="1">
      <alignment horizontal="left"/>
    </xf>
    <xf borderId="15" fillId="2" fontId="8" numFmtId="165" xfId="0" applyAlignment="1" applyBorder="1" applyFont="1" applyNumberFormat="1">
      <alignment horizontal="right"/>
    </xf>
    <xf borderId="16" fillId="0" fontId="4" numFmtId="0" xfId="0" applyBorder="1" applyFont="1"/>
    <xf borderId="17" fillId="0" fontId="4" numFmtId="0" xfId="0" applyBorder="1" applyFont="1"/>
    <xf borderId="18" fillId="3" fontId="8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19" fillId="3" fontId="10" numFmtId="0" xfId="0" applyAlignment="1" applyBorder="1" applyFont="1">
      <alignment horizontal="center" shrinkToFit="0" vertical="center" wrapText="1"/>
    </xf>
    <xf borderId="20" fillId="4" fontId="8" numFmtId="166" xfId="0" applyAlignment="1" applyBorder="1" applyFont="1" applyNumberFormat="1">
      <alignment horizont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11" fillId="4" fontId="11" numFmtId="164" xfId="0" applyAlignment="1" applyBorder="1" applyFont="1" applyNumberFormat="1">
      <alignment horizontal="center" vertical="center"/>
    </xf>
    <xf borderId="24" fillId="0" fontId="4" numFmtId="0" xfId="0" applyBorder="1" applyFont="1"/>
    <xf borderId="25" fillId="2" fontId="8" numFmtId="0" xfId="0" applyAlignment="1" applyBorder="1" applyFont="1">
      <alignment horizontal="center"/>
    </xf>
    <xf borderId="26" fillId="0" fontId="4" numFmtId="0" xfId="0" applyBorder="1" applyFont="1"/>
    <xf borderId="27" fillId="0" fontId="4" numFmtId="0" xfId="0" applyBorder="1" applyFont="1"/>
    <xf borderId="11" fillId="0" fontId="9" numFmtId="3" xfId="0" applyAlignment="1" applyBorder="1" applyFont="1" applyNumberFormat="1">
      <alignment horizontal="center"/>
    </xf>
    <xf borderId="2" fillId="4" fontId="2" numFmtId="0" xfId="0" applyAlignment="1" applyBorder="1" applyFont="1">
      <alignment horizontal="left"/>
    </xf>
    <xf borderId="28" fillId="0" fontId="4" numFmtId="0" xfId="0" applyBorder="1" applyFont="1"/>
    <xf borderId="29" fillId="2" fontId="8" numFmtId="0" xfId="0" applyAlignment="1" applyBorder="1" applyFont="1">
      <alignment horizontal="center"/>
    </xf>
    <xf borderId="29" fillId="2" fontId="8" numFmtId="1" xfId="0" applyAlignment="1" applyBorder="1" applyFont="1" applyNumberFormat="1">
      <alignment horizontal="center"/>
    </xf>
    <xf borderId="30" fillId="4" fontId="2" numFmtId="0" xfId="0" applyAlignment="1" applyBorder="1" applyFont="1">
      <alignment horizontal="left"/>
    </xf>
    <xf borderId="31" fillId="0" fontId="4" numFmtId="0" xfId="0" applyBorder="1" applyFont="1"/>
    <xf borderId="32" fillId="0" fontId="4" numFmtId="0" xfId="0" applyBorder="1" applyFont="1"/>
    <xf borderId="33" fillId="4" fontId="10" numFmtId="0" xfId="0" applyAlignment="1" applyBorder="1" applyFont="1">
      <alignment horizontal="right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3" fontId="10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shrinkToFit="0" vertical="center" wrapText="1"/>
    </xf>
    <xf borderId="38" fillId="3" fontId="2" numFmtId="0" xfId="0" applyBorder="1" applyFont="1"/>
    <xf borderId="1" fillId="5" fontId="12" numFmtId="4" xfId="0" applyAlignment="1" applyBorder="1" applyFill="1" applyFont="1" applyNumberFormat="1">
      <alignment horizontal="center" shrinkToFit="0" vertical="center" wrapText="1"/>
    </xf>
    <xf borderId="39" fillId="4" fontId="13" numFmtId="0" xfId="0" applyAlignment="1" applyBorder="1" applyFont="1">
      <alignment horizontal="center" vertical="center"/>
    </xf>
    <xf borderId="40" fillId="0" fontId="4" numFmtId="0" xfId="0" applyBorder="1" applyFont="1"/>
    <xf borderId="41" fillId="0" fontId="4" numFmtId="0" xfId="0" applyBorder="1" applyFont="1"/>
    <xf borderId="42" fillId="4" fontId="6" numFmtId="164" xfId="0" applyAlignment="1" applyBorder="1" applyFont="1" applyNumberFormat="1">
      <alignment horizontal="center" shrinkToFit="0" vertical="center" wrapText="1"/>
    </xf>
    <xf borderId="42" fillId="4" fontId="13" numFmtId="167" xfId="0" applyAlignment="1" applyBorder="1" applyFont="1" applyNumberFormat="1">
      <alignment horizontal="center" vertical="center"/>
    </xf>
    <xf borderId="43" fillId="0" fontId="4" numFmtId="0" xfId="0" applyBorder="1" applyFont="1"/>
    <xf borderId="44" fillId="0" fontId="4" numFmtId="0" xfId="0" applyBorder="1" applyFont="1"/>
    <xf borderId="45" fillId="0" fontId="4" numFmtId="0" xfId="0" applyBorder="1" applyFont="1"/>
    <xf borderId="46" fillId="0" fontId="4" numFmtId="0" xfId="0" applyBorder="1" applyFont="1"/>
    <xf borderId="5" fillId="4" fontId="8" numFmtId="0" xfId="0" applyAlignment="1" applyBorder="1" applyFont="1">
      <alignment horizontal="center" shrinkToFit="0" vertical="center" wrapText="1"/>
    </xf>
    <xf borderId="11" fillId="4" fontId="2" numFmtId="164" xfId="0" applyAlignment="1" applyBorder="1" applyFont="1" applyNumberFormat="1">
      <alignment horizontal="center" vertical="center"/>
    </xf>
    <xf borderId="11" fillId="4" fontId="8" numFmtId="164" xfId="0" applyAlignment="1" applyBorder="1" applyFont="1" applyNumberFormat="1">
      <alignment horizontal="center" vertical="center"/>
    </xf>
    <xf borderId="47" fillId="4" fontId="8" numFmtId="164" xfId="0" applyAlignment="1" applyBorder="1" applyFont="1" applyNumberFormat="1">
      <alignment vertical="center"/>
    </xf>
    <xf borderId="48" fillId="4" fontId="8" numFmtId="164" xfId="0" applyAlignment="1" applyBorder="1" applyFont="1" applyNumberFormat="1">
      <alignment vertical="center"/>
    </xf>
    <xf borderId="49" fillId="2" fontId="8" numFmtId="0" xfId="0" applyAlignment="1" applyBorder="1" applyFont="1">
      <alignment shrinkToFit="0" wrapText="1"/>
    </xf>
    <xf borderId="8" fillId="2" fontId="8" numFmtId="0" xfId="0" applyAlignment="1" applyBorder="1" applyFont="1">
      <alignment shrinkToFit="0" wrapText="1"/>
    </xf>
    <xf borderId="48" fillId="4" fontId="8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11" fillId="4" fontId="8" numFmtId="164" xfId="0" applyAlignment="1" applyBorder="1" applyFont="1" applyNumberFormat="1">
      <alignment horizontal="center" shrinkToFit="0" vertical="center" wrapText="1"/>
    </xf>
    <xf borderId="11" fillId="4" fontId="8" numFmtId="0" xfId="0" applyAlignment="1" applyBorder="1" applyFont="1">
      <alignment horizontal="center" vertical="center"/>
    </xf>
    <xf borderId="48" fillId="4" fontId="8" numFmtId="164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right"/>
    </xf>
    <xf borderId="1" fillId="3" fontId="2" numFmtId="1" xfId="0" applyAlignment="1" applyBorder="1" applyFont="1" applyNumberFormat="1">
      <alignment horizontal="right"/>
    </xf>
    <xf borderId="48" fillId="4" fontId="2" numFmtId="0" xfId="0" applyAlignment="1" applyBorder="1" applyFont="1">
      <alignment horizontal="center"/>
    </xf>
    <xf borderId="47" fillId="4" fontId="2" numFmtId="0" xfId="0" applyAlignment="1" applyBorder="1" applyFont="1">
      <alignment horizontal="right"/>
    </xf>
    <xf borderId="8" fillId="4" fontId="2" numFmtId="168" xfId="0" applyAlignment="1" applyBorder="1" applyFont="1" applyNumberFormat="1">
      <alignment horizontal="right"/>
    </xf>
    <xf borderId="50" fillId="4" fontId="2" numFmtId="1" xfId="0" applyAlignment="1" applyBorder="1" applyFont="1" applyNumberFormat="1">
      <alignment horizontal="right"/>
    </xf>
    <xf borderId="11" fillId="3" fontId="2" numFmtId="164" xfId="0" applyAlignment="1" applyBorder="1" applyFont="1" applyNumberFormat="1">
      <alignment horizontal="center"/>
    </xf>
    <xf borderId="11" fillId="2" fontId="2" numFmtId="164" xfId="0" applyAlignment="1" applyBorder="1" applyFont="1" applyNumberFormat="1">
      <alignment horizontal="center"/>
    </xf>
    <xf borderId="11" fillId="4" fontId="2" numFmtId="164" xfId="0" applyAlignment="1" applyBorder="1" applyFont="1" applyNumberFormat="1">
      <alignment horizontal="center"/>
    </xf>
    <xf borderId="48" fillId="4" fontId="2" numFmtId="164" xfId="0" applyAlignment="1" applyBorder="1" applyFont="1" applyNumberFormat="1">
      <alignment horizontal="center"/>
    </xf>
    <xf borderId="0" fillId="0" fontId="2" numFmtId="17" xfId="0" applyAlignment="1" applyFont="1" applyNumberFormat="1">
      <alignment horizontal="right"/>
    </xf>
    <xf borderId="51" fillId="4" fontId="2" numFmtId="0" xfId="0" applyAlignment="1" applyBorder="1" applyFont="1">
      <alignment horizontal="right"/>
    </xf>
    <xf borderId="52" fillId="4" fontId="2" numFmtId="1" xfId="0" applyAlignment="1" applyBorder="1" applyFont="1" applyNumberFormat="1">
      <alignment horizontal="right"/>
    </xf>
    <xf borderId="48" fillId="4" fontId="2" numFmtId="164" xfId="0" applyBorder="1" applyFont="1" applyNumberFormat="1"/>
    <xf borderId="53" fillId="4" fontId="2" numFmtId="0" xfId="0" applyAlignment="1" applyBorder="1" applyFont="1">
      <alignment horizontal="right"/>
    </xf>
    <xf borderId="54" fillId="4" fontId="2" numFmtId="1" xfId="0" applyAlignment="1" applyBorder="1" applyFont="1" applyNumberFormat="1">
      <alignment horizontal="right"/>
    </xf>
    <xf borderId="47" fillId="2" fontId="2" numFmtId="164" xfId="0" applyAlignment="1" applyBorder="1" applyFont="1" applyNumberFormat="1">
      <alignment horizontal="center"/>
    </xf>
    <xf borderId="50" fillId="2" fontId="2" numFmtId="164" xfId="0" applyAlignment="1" applyBorder="1" applyFont="1" applyNumberFormat="1">
      <alignment horizontal="center"/>
    </xf>
    <xf borderId="11" fillId="4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right"/>
    </xf>
    <xf borderId="1" fillId="3" fontId="2" numFmtId="164" xfId="0" applyAlignment="1" applyBorder="1" applyFont="1" applyNumberFormat="1">
      <alignment horizontal="center"/>
    </xf>
    <xf borderId="1" fillId="3" fontId="2" numFmtId="164" xfId="0" applyBorder="1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55" fillId="0" fontId="4" numFmtId="0" xfId="0" applyBorder="1" applyFont="1"/>
    <xf borderId="56" fillId="3" fontId="10" numFmtId="0" xfId="0" applyAlignment="1" applyBorder="1" applyFont="1">
      <alignment horizontal="center" shrinkToFit="0" vertical="center" wrapText="1"/>
    </xf>
    <xf borderId="57" fillId="4" fontId="8" numFmtId="166" xfId="0" applyAlignment="1" applyBorder="1" applyFont="1" applyNumberFormat="1">
      <alignment horizontal="center"/>
    </xf>
    <xf borderId="58" fillId="0" fontId="4" numFmtId="0" xfId="0" applyBorder="1" applyFont="1"/>
    <xf borderId="59" fillId="0" fontId="4" numFmtId="0" xfId="0" applyBorder="1" applyFont="1"/>
    <xf borderId="15" fillId="2" fontId="8" numFmtId="0" xfId="0" applyAlignment="1" applyBorder="1" applyFont="1">
      <alignment horizontal="center"/>
    </xf>
    <xf borderId="60" fillId="0" fontId="4" numFmtId="0" xfId="0" applyBorder="1" applyFont="1"/>
    <xf borderId="61" fillId="0" fontId="4" numFmtId="0" xfId="0" applyBorder="1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 t="s">
        <v>1</v>
      </c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1.06794831E8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28.0</v>
      </c>
      <c r="J8" s="39">
        <v>2.0</v>
      </c>
      <c r="K8" s="40">
        <v>2026.0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106794831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106794831</v>
      </c>
      <c r="O15" s="17"/>
      <c r="P15" s="65">
        <f t="shared" ref="P15:Q15" si="1">P139</f>
        <v>35482055</v>
      </c>
      <c r="Q15" s="66">
        <f t="shared" si="1"/>
        <v>142276886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2</v>
      </c>
      <c r="D18" s="75"/>
      <c r="E18" s="76">
        <v>0.0</v>
      </c>
      <c r="F18" s="77">
        <f>I8</f>
        <v>28</v>
      </c>
      <c r="G18" s="78" t="str">
        <f t="shared" ref="G18:G138" si="2">VLOOKUP(C18,$A$19:$B$30,2)</f>
        <v>Feb</v>
      </c>
      <c r="H18" s="79">
        <f>K8</f>
        <v>2026</v>
      </c>
      <c r="I18" s="80">
        <f>I5</f>
        <v>106794831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38" si="3">IF(C18&lt;12,C18+1,1)</f>
        <v>3</v>
      </c>
      <c r="D19" s="75"/>
      <c r="E19" s="76">
        <f t="shared" ref="E19:E138" si="4">IF($I$7&gt;=A19,A19,"0")</f>
        <v>1</v>
      </c>
      <c r="F19" s="85">
        <f t="shared" ref="F19:F67" si="5">$F$18</f>
        <v>28</v>
      </c>
      <c r="G19" s="78" t="str">
        <f t="shared" si="2"/>
        <v>Mar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106143163</v>
      </c>
      <c r="J19" s="10"/>
      <c r="K19" s="17"/>
      <c r="L19" s="81"/>
      <c r="M19" s="17"/>
      <c r="N19" s="82">
        <f>ROUND(($Q$19-$P$19-$L$19),0)</f>
        <v>651668</v>
      </c>
      <c r="O19" s="17"/>
      <c r="P19" s="87">
        <f t="shared" ref="P19:P138" si="8">ROUNDDOWN((I18*$I$6),0)</f>
        <v>533974</v>
      </c>
      <c r="Q19" s="87">
        <f>ROUND((-PMT($I$6,$I$7,$I$5,0,0)+L19),0)</f>
        <v>1185642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4</v>
      </c>
      <c r="D20" s="75"/>
      <c r="E20" s="76">
        <f t="shared" si="4"/>
        <v>2</v>
      </c>
      <c r="F20" s="77">
        <f t="shared" si="5"/>
        <v>28</v>
      </c>
      <c r="G20" s="78" t="str">
        <f t="shared" si="2"/>
        <v>Abr</v>
      </c>
      <c r="H20" s="79">
        <f t="shared" si="6"/>
        <v>2026</v>
      </c>
      <c r="I20" s="80">
        <f t="shared" si="7"/>
        <v>105488236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654927</v>
      </c>
      <c r="O20" s="17"/>
      <c r="P20" s="87">
        <f t="shared" si="8"/>
        <v>530715</v>
      </c>
      <c r="Q20" s="87">
        <f t="shared" ref="Q20:Q138" si="10">SUM(L20:P20)</f>
        <v>1185642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5</v>
      </c>
      <c r="D21" s="75"/>
      <c r="E21" s="76">
        <f t="shared" si="4"/>
        <v>3</v>
      </c>
      <c r="F21" s="88">
        <f t="shared" si="5"/>
        <v>28</v>
      </c>
      <c r="G21" s="78" t="str">
        <f t="shared" si="2"/>
        <v>May</v>
      </c>
      <c r="H21" s="89">
        <f t="shared" si="6"/>
        <v>2026</v>
      </c>
      <c r="I21" s="80">
        <f t="shared" si="7"/>
        <v>104830035</v>
      </c>
      <c r="J21" s="10"/>
      <c r="K21" s="17"/>
      <c r="L21" s="81"/>
      <c r="M21" s="17"/>
      <c r="N21" s="82">
        <f t="shared" si="9"/>
        <v>658201</v>
      </c>
      <c r="O21" s="17"/>
      <c r="P21" s="87">
        <f t="shared" si="8"/>
        <v>527441</v>
      </c>
      <c r="Q21" s="87">
        <f t="shared" si="10"/>
        <v>1185642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6</v>
      </c>
      <c r="D22" s="75"/>
      <c r="E22" s="76">
        <f t="shared" si="4"/>
        <v>4</v>
      </c>
      <c r="F22" s="77">
        <f t="shared" si="5"/>
        <v>28</v>
      </c>
      <c r="G22" s="78" t="str">
        <f t="shared" si="2"/>
        <v>Jun</v>
      </c>
      <c r="H22" s="79">
        <f t="shared" si="6"/>
        <v>2026</v>
      </c>
      <c r="I22" s="80">
        <f t="shared" si="7"/>
        <v>104168543</v>
      </c>
      <c r="J22" s="10"/>
      <c r="K22" s="17"/>
      <c r="L22" s="81"/>
      <c r="M22" s="17"/>
      <c r="N22" s="82">
        <f t="shared" si="9"/>
        <v>661492</v>
      </c>
      <c r="O22" s="17"/>
      <c r="P22" s="87">
        <f t="shared" si="8"/>
        <v>524150</v>
      </c>
      <c r="Q22" s="87">
        <f t="shared" si="10"/>
        <v>1185642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7</v>
      </c>
      <c r="D23" s="75"/>
      <c r="E23" s="76">
        <f t="shared" si="4"/>
        <v>5</v>
      </c>
      <c r="F23" s="88">
        <f t="shared" si="5"/>
        <v>28</v>
      </c>
      <c r="G23" s="78" t="str">
        <f t="shared" si="2"/>
        <v>Jul</v>
      </c>
      <c r="H23" s="89">
        <f t="shared" si="6"/>
        <v>2026</v>
      </c>
      <c r="I23" s="80">
        <f t="shared" si="7"/>
        <v>103503743</v>
      </c>
      <c r="J23" s="10"/>
      <c r="K23" s="17"/>
      <c r="L23" s="81"/>
      <c r="M23" s="17"/>
      <c r="N23" s="82">
        <f t="shared" si="9"/>
        <v>664800</v>
      </c>
      <c r="O23" s="17"/>
      <c r="P23" s="87">
        <f t="shared" si="8"/>
        <v>520842</v>
      </c>
      <c r="Q23" s="87">
        <f t="shared" si="10"/>
        <v>1185642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8</v>
      </c>
      <c r="D24" s="75"/>
      <c r="E24" s="76">
        <f t="shared" si="4"/>
        <v>6</v>
      </c>
      <c r="F24" s="77">
        <f t="shared" si="5"/>
        <v>28</v>
      </c>
      <c r="G24" s="78" t="str">
        <f t="shared" si="2"/>
        <v>Ago</v>
      </c>
      <c r="H24" s="79">
        <f t="shared" si="6"/>
        <v>2026</v>
      </c>
      <c r="I24" s="80">
        <f t="shared" si="7"/>
        <v>102835619</v>
      </c>
      <c r="J24" s="10"/>
      <c r="K24" s="17"/>
      <c r="L24" s="81"/>
      <c r="M24" s="17"/>
      <c r="N24" s="82">
        <f t="shared" si="9"/>
        <v>668124</v>
      </c>
      <c r="O24" s="17"/>
      <c r="P24" s="87">
        <f t="shared" si="8"/>
        <v>517518</v>
      </c>
      <c r="Q24" s="87">
        <f t="shared" si="10"/>
        <v>1185642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9</v>
      </c>
      <c r="D25" s="75"/>
      <c r="E25" s="76">
        <f t="shared" si="4"/>
        <v>7</v>
      </c>
      <c r="F25" s="77">
        <f t="shared" si="5"/>
        <v>28</v>
      </c>
      <c r="G25" s="78" t="str">
        <f t="shared" si="2"/>
        <v>Sep</v>
      </c>
      <c r="H25" s="79">
        <f t="shared" si="6"/>
        <v>2026</v>
      </c>
      <c r="I25" s="80">
        <f t="shared" si="7"/>
        <v>102164155</v>
      </c>
      <c r="J25" s="10"/>
      <c r="K25" s="17"/>
      <c r="L25" s="81"/>
      <c r="M25" s="17"/>
      <c r="N25" s="82">
        <f t="shared" si="9"/>
        <v>671464</v>
      </c>
      <c r="O25" s="17"/>
      <c r="P25" s="87">
        <f t="shared" si="8"/>
        <v>514178</v>
      </c>
      <c r="Q25" s="87">
        <f t="shared" si="10"/>
        <v>1185642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10</v>
      </c>
      <c r="D26" s="75"/>
      <c r="E26" s="76">
        <f t="shared" si="4"/>
        <v>8</v>
      </c>
      <c r="F26" s="85">
        <f t="shared" si="5"/>
        <v>28</v>
      </c>
      <c r="G26" s="78" t="str">
        <f t="shared" si="2"/>
        <v>Oct</v>
      </c>
      <c r="H26" s="86">
        <f t="shared" si="6"/>
        <v>2026</v>
      </c>
      <c r="I26" s="80">
        <f t="shared" si="7"/>
        <v>101489333</v>
      </c>
      <c r="J26" s="10"/>
      <c r="K26" s="17"/>
      <c r="L26" s="81"/>
      <c r="M26" s="17"/>
      <c r="N26" s="82">
        <f t="shared" si="9"/>
        <v>674822</v>
      </c>
      <c r="O26" s="17"/>
      <c r="P26" s="87">
        <f t="shared" si="8"/>
        <v>510820</v>
      </c>
      <c r="Q26" s="87">
        <f t="shared" si="10"/>
        <v>1185642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11</v>
      </c>
      <c r="D27" s="75"/>
      <c r="E27" s="76">
        <f t="shared" si="4"/>
        <v>9</v>
      </c>
      <c r="F27" s="77">
        <f t="shared" si="5"/>
        <v>28</v>
      </c>
      <c r="G27" s="78" t="str">
        <f t="shared" si="2"/>
        <v>Nov</v>
      </c>
      <c r="H27" s="79">
        <f t="shared" si="6"/>
        <v>2026</v>
      </c>
      <c r="I27" s="80">
        <f t="shared" si="7"/>
        <v>100811137</v>
      </c>
      <c r="J27" s="10"/>
      <c r="K27" s="17"/>
      <c r="L27" s="81"/>
      <c r="M27" s="17"/>
      <c r="N27" s="82">
        <f t="shared" si="9"/>
        <v>678196</v>
      </c>
      <c r="O27" s="17"/>
      <c r="P27" s="87">
        <f t="shared" si="8"/>
        <v>507446</v>
      </c>
      <c r="Q27" s="87">
        <f t="shared" si="10"/>
        <v>1185642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12</v>
      </c>
      <c r="D28" s="75"/>
      <c r="E28" s="76">
        <f t="shared" si="4"/>
        <v>10</v>
      </c>
      <c r="F28" s="88">
        <f t="shared" si="5"/>
        <v>28</v>
      </c>
      <c r="G28" s="78" t="str">
        <f t="shared" si="2"/>
        <v>Dic</v>
      </c>
      <c r="H28" s="89">
        <f t="shared" si="6"/>
        <v>2026</v>
      </c>
      <c r="I28" s="80">
        <f t="shared" si="7"/>
        <v>100129550</v>
      </c>
      <c r="J28" s="10"/>
      <c r="K28" s="17"/>
      <c r="L28" s="81"/>
      <c r="M28" s="17"/>
      <c r="N28" s="82">
        <f t="shared" si="9"/>
        <v>681587</v>
      </c>
      <c r="O28" s="17"/>
      <c r="P28" s="87">
        <f t="shared" si="8"/>
        <v>504055</v>
      </c>
      <c r="Q28" s="87">
        <f t="shared" si="10"/>
        <v>1185642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</v>
      </c>
      <c r="D29" s="75"/>
      <c r="E29" s="76">
        <f t="shared" si="4"/>
        <v>11</v>
      </c>
      <c r="F29" s="77">
        <f t="shared" si="5"/>
        <v>28</v>
      </c>
      <c r="G29" s="78" t="str">
        <f t="shared" si="2"/>
        <v>Ene</v>
      </c>
      <c r="H29" s="79">
        <f t="shared" si="6"/>
        <v>2027</v>
      </c>
      <c r="I29" s="80">
        <f t="shared" si="7"/>
        <v>99444555</v>
      </c>
      <c r="J29" s="10"/>
      <c r="K29" s="17"/>
      <c r="L29" s="81"/>
      <c r="M29" s="17"/>
      <c r="N29" s="82">
        <f t="shared" si="9"/>
        <v>684995</v>
      </c>
      <c r="O29" s="17"/>
      <c r="P29" s="87">
        <f t="shared" si="8"/>
        <v>500647</v>
      </c>
      <c r="Q29" s="87">
        <f t="shared" si="10"/>
        <v>1185642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2</v>
      </c>
      <c r="D30" s="75"/>
      <c r="E30" s="76">
        <f t="shared" si="4"/>
        <v>12</v>
      </c>
      <c r="F30" s="77">
        <f t="shared" si="5"/>
        <v>28</v>
      </c>
      <c r="G30" s="78" t="str">
        <f t="shared" si="2"/>
        <v>Feb</v>
      </c>
      <c r="H30" s="79">
        <f t="shared" si="6"/>
        <v>2027</v>
      </c>
      <c r="I30" s="80">
        <f t="shared" si="7"/>
        <v>98756135</v>
      </c>
      <c r="J30" s="10"/>
      <c r="K30" s="17"/>
      <c r="L30" s="81"/>
      <c r="M30" s="17"/>
      <c r="N30" s="82">
        <f t="shared" si="9"/>
        <v>688420</v>
      </c>
      <c r="O30" s="17"/>
      <c r="P30" s="87">
        <f t="shared" si="8"/>
        <v>497222</v>
      </c>
      <c r="Q30" s="87">
        <f t="shared" si="10"/>
        <v>1185642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3</v>
      </c>
      <c r="D31" s="75"/>
      <c r="E31" s="76">
        <f t="shared" si="4"/>
        <v>13</v>
      </c>
      <c r="F31" s="77">
        <f t="shared" si="5"/>
        <v>28</v>
      </c>
      <c r="G31" s="78" t="str">
        <f t="shared" si="2"/>
        <v>Mar</v>
      </c>
      <c r="H31" s="79">
        <f t="shared" si="6"/>
        <v>2027</v>
      </c>
      <c r="I31" s="80">
        <f t="shared" si="7"/>
        <v>98064273</v>
      </c>
      <c r="J31" s="10"/>
      <c r="K31" s="17"/>
      <c r="L31" s="81"/>
      <c r="M31" s="17"/>
      <c r="N31" s="82">
        <f t="shared" si="9"/>
        <v>691862</v>
      </c>
      <c r="O31" s="17"/>
      <c r="P31" s="87">
        <f t="shared" si="8"/>
        <v>493780</v>
      </c>
      <c r="Q31" s="87">
        <f t="shared" si="10"/>
        <v>1185642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4</v>
      </c>
      <c r="D32" s="75"/>
      <c r="E32" s="76">
        <f t="shared" si="4"/>
        <v>14</v>
      </c>
      <c r="F32" s="77">
        <f t="shared" si="5"/>
        <v>28</v>
      </c>
      <c r="G32" s="78" t="str">
        <f t="shared" si="2"/>
        <v>Abr</v>
      </c>
      <c r="H32" s="79">
        <f t="shared" si="6"/>
        <v>2027</v>
      </c>
      <c r="I32" s="80">
        <f t="shared" si="7"/>
        <v>97368952</v>
      </c>
      <c r="J32" s="10"/>
      <c r="K32" s="17"/>
      <c r="L32" s="81"/>
      <c r="M32" s="17"/>
      <c r="N32" s="82">
        <f t="shared" si="9"/>
        <v>695321</v>
      </c>
      <c r="O32" s="17"/>
      <c r="P32" s="87">
        <f t="shared" si="8"/>
        <v>490321</v>
      </c>
      <c r="Q32" s="87">
        <f t="shared" si="10"/>
        <v>1185642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5</v>
      </c>
      <c r="D33" s="75"/>
      <c r="E33" s="76">
        <f t="shared" si="4"/>
        <v>15</v>
      </c>
      <c r="F33" s="77">
        <f t="shared" si="5"/>
        <v>28</v>
      </c>
      <c r="G33" s="78" t="str">
        <f t="shared" si="2"/>
        <v>May</v>
      </c>
      <c r="H33" s="79">
        <f t="shared" si="6"/>
        <v>2027</v>
      </c>
      <c r="I33" s="80">
        <f t="shared" si="7"/>
        <v>96670154</v>
      </c>
      <c r="J33" s="10"/>
      <c r="K33" s="17"/>
      <c r="L33" s="81"/>
      <c r="M33" s="17"/>
      <c r="N33" s="82">
        <f t="shared" si="9"/>
        <v>698798</v>
      </c>
      <c r="O33" s="17"/>
      <c r="P33" s="87">
        <f t="shared" si="8"/>
        <v>486844</v>
      </c>
      <c r="Q33" s="87">
        <f t="shared" si="10"/>
        <v>1185642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6</v>
      </c>
      <c r="D34" s="75"/>
      <c r="E34" s="76">
        <f t="shared" si="4"/>
        <v>16</v>
      </c>
      <c r="F34" s="77">
        <f t="shared" si="5"/>
        <v>28</v>
      </c>
      <c r="G34" s="78" t="str">
        <f t="shared" si="2"/>
        <v>Jun</v>
      </c>
      <c r="H34" s="79">
        <f t="shared" si="6"/>
        <v>2027</v>
      </c>
      <c r="I34" s="80">
        <f t="shared" si="7"/>
        <v>95967862</v>
      </c>
      <c r="J34" s="10"/>
      <c r="K34" s="17"/>
      <c r="L34" s="81"/>
      <c r="M34" s="17"/>
      <c r="N34" s="82">
        <f t="shared" si="9"/>
        <v>702292</v>
      </c>
      <c r="O34" s="17"/>
      <c r="P34" s="87">
        <f t="shared" si="8"/>
        <v>483350</v>
      </c>
      <c r="Q34" s="87">
        <f t="shared" si="10"/>
        <v>1185642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7</v>
      </c>
      <c r="D35" s="75"/>
      <c r="E35" s="76">
        <f t="shared" si="4"/>
        <v>17</v>
      </c>
      <c r="F35" s="77">
        <f t="shared" si="5"/>
        <v>28</v>
      </c>
      <c r="G35" s="78" t="str">
        <f t="shared" si="2"/>
        <v>Jul</v>
      </c>
      <c r="H35" s="79">
        <f t="shared" si="6"/>
        <v>2027</v>
      </c>
      <c r="I35" s="80">
        <f t="shared" si="7"/>
        <v>95262059</v>
      </c>
      <c r="J35" s="10"/>
      <c r="K35" s="17"/>
      <c r="L35" s="81"/>
      <c r="M35" s="17"/>
      <c r="N35" s="82">
        <f t="shared" si="9"/>
        <v>705803</v>
      </c>
      <c r="O35" s="17"/>
      <c r="P35" s="87">
        <f t="shared" si="8"/>
        <v>479839</v>
      </c>
      <c r="Q35" s="87">
        <f t="shared" si="10"/>
        <v>1185642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8</v>
      </c>
      <c r="D36" s="75"/>
      <c r="E36" s="76">
        <f t="shared" si="4"/>
        <v>18</v>
      </c>
      <c r="F36" s="77">
        <f t="shared" si="5"/>
        <v>28</v>
      </c>
      <c r="G36" s="78" t="str">
        <f t="shared" si="2"/>
        <v>Ago</v>
      </c>
      <c r="H36" s="79">
        <f t="shared" si="6"/>
        <v>2027</v>
      </c>
      <c r="I36" s="80">
        <f t="shared" si="7"/>
        <v>94552727</v>
      </c>
      <c r="J36" s="10"/>
      <c r="K36" s="17"/>
      <c r="L36" s="81"/>
      <c r="M36" s="17"/>
      <c r="N36" s="82">
        <f t="shared" si="9"/>
        <v>709332</v>
      </c>
      <c r="O36" s="17"/>
      <c r="P36" s="87">
        <f t="shared" si="8"/>
        <v>476310</v>
      </c>
      <c r="Q36" s="87">
        <f t="shared" si="10"/>
        <v>1185642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9</v>
      </c>
      <c r="D37" s="75"/>
      <c r="E37" s="76">
        <f t="shared" si="4"/>
        <v>19</v>
      </c>
      <c r="F37" s="77">
        <f t="shared" si="5"/>
        <v>28</v>
      </c>
      <c r="G37" s="78" t="str">
        <f t="shared" si="2"/>
        <v>Sep</v>
      </c>
      <c r="H37" s="79">
        <f t="shared" si="6"/>
        <v>2027</v>
      </c>
      <c r="I37" s="80">
        <f t="shared" si="7"/>
        <v>93839848</v>
      </c>
      <c r="J37" s="10"/>
      <c r="K37" s="17"/>
      <c r="L37" s="81"/>
      <c r="M37" s="17"/>
      <c r="N37" s="82">
        <f t="shared" si="9"/>
        <v>712879</v>
      </c>
      <c r="O37" s="17"/>
      <c r="P37" s="87">
        <f t="shared" si="8"/>
        <v>472763</v>
      </c>
      <c r="Q37" s="87">
        <f t="shared" si="10"/>
        <v>1185642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10</v>
      </c>
      <c r="D38" s="75"/>
      <c r="E38" s="76">
        <f t="shared" si="4"/>
        <v>20</v>
      </c>
      <c r="F38" s="77">
        <f t="shared" si="5"/>
        <v>28</v>
      </c>
      <c r="G38" s="78" t="str">
        <f t="shared" si="2"/>
        <v>Oct</v>
      </c>
      <c r="H38" s="79">
        <f t="shared" si="6"/>
        <v>2027</v>
      </c>
      <c r="I38" s="80">
        <f t="shared" si="7"/>
        <v>93123405</v>
      </c>
      <c r="J38" s="10"/>
      <c r="K38" s="17"/>
      <c r="L38" s="81"/>
      <c r="M38" s="17"/>
      <c r="N38" s="82">
        <f t="shared" si="9"/>
        <v>716443</v>
      </c>
      <c r="O38" s="17"/>
      <c r="P38" s="87">
        <f t="shared" si="8"/>
        <v>469199</v>
      </c>
      <c r="Q38" s="87">
        <f t="shared" si="10"/>
        <v>1185642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11</v>
      </c>
      <c r="D39" s="75"/>
      <c r="E39" s="76">
        <f t="shared" si="4"/>
        <v>21</v>
      </c>
      <c r="F39" s="77">
        <f t="shared" si="5"/>
        <v>28</v>
      </c>
      <c r="G39" s="78" t="str">
        <f t="shared" si="2"/>
        <v>Nov</v>
      </c>
      <c r="H39" s="79">
        <f t="shared" si="6"/>
        <v>2027</v>
      </c>
      <c r="I39" s="80">
        <f t="shared" si="7"/>
        <v>92403380</v>
      </c>
      <c r="J39" s="10"/>
      <c r="K39" s="17"/>
      <c r="L39" s="81"/>
      <c r="M39" s="17"/>
      <c r="N39" s="82">
        <f t="shared" si="9"/>
        <v>720025</v>
      </c>
      <c r="O39" s="17"/>
      <c r="P39" s="87">
        <f t="shared" si="8"/>
        <v>465617</v>
      </c>
      <c r="Q39" s="87">
        <f t="shared" si="10"/>
        <v>1185642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12</v>
      </c>
      <c r="D40" s="75"/>
      <c r="E40" s="76">
        <f t="shared" si="4"/>
        <v>22</v>
      </c>
      <c r="F40" s="88">
        <f t="shared" si="5"/>
        <v>28</v>
      </c>
      <c r="G40" s="78" t="str">
        <f t="shared" si="2"/>
        <v>Dic</v>
      </c>
      <c r="H40" s="89">
        <f t="shared" si="6"/>
        <v>2027</v>
      </c>
      <c r="I40" s="80">
        <f t="shared" si="7"/>
        <v>91679754</v>
      </c>
      <c r="J40" s="10"/>
      <c r="K40" s="17"/>
      <c r="L40" s="81"/>
      <c r="M40" s="17"/>
      <c r="N40" s="82">
        <f t="shared" si="9"/>
        <v>723626</v>
      </c>
      <c r="O40" s="17"/>
      <c r="P40" s="87">
        <f t="shared" si="8"/>
        <v>462016</v>
      </c>
      <c r="Q40" s="87">
        <f t="shared" si="10"/>
        <v>1185642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</v>
      </c>
      <c r="D41" s="75"/>
      <c r="E41" s="76">
        <f t="shared" si="4"/>
        <v>23</v>
      </c>
      <c r="F41" s="77">
        <f t="shared" si="5"/>
        <v>28</v>
      </c>
      <c r="G41" s="78" t="str">
        <f t="shared" si="2"/>
        <v>Ene</v>
      </c>
      <c r="H41" s="79">
        <f t="shared" si="6"/>
        <v>2028</v>
      </c>
      <c r="I41" s="80">
        <f t="shared" si="7"/>
        <v>90952510</v>
      </c>
      <c r="J41" s="10"/>
      <c r="K41" s="17"/>
      <c r="L41" s="81"/>
      <c r="M41" s="17"/>
      <c r="N41" s="82">
        <f t="shared" si="9"/>
        <v>727244</v>
      </c>
      <c r="O41" s="17"/>
      <c r="P41" s="87">
        <f t="shared" si="8"/>
        <v>458398</v>
      </c>
      <c r="Q41" s="87">
        <f t="shared" si="10"/>
        <v>1185642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2</v>
      </c>
      <c r="D42" s="75"/>
      <c r="E42" s="76">
        <f t="shared" si="4"/>
        <v>24</v>
      </c>
      <c r="F42" s="77">
        <f t="shared" si="5"/>
        <v>28</v>
      </c>
      <c r="G42" s="78" t="str">
        <f t="shared" si="2"/>
        <v>Feb</v>
      </c>
      <c r="H42" s="79">
        <f t="shared" si="6"/>
        <v>2028</v>
      </c>
      <c r="I42" s="80">
        <f t="shared" si="7"/>
        <v>90221630</v>
      </c>
      <c r="J42" s="10"/>
      <c r="K42" s="17"/>
      <c r="L42" s="81"/>
      <c r="M42" s="17"/>
      <c r="N42" s="82">
        <f t="shared" si="9"/>
        <v>730880</v>
      </c>
      <c r="O42" s="17"/>
      <c r="P42" s="87">
        <f t="shared" si="8"/>
        <v>454762</v>
      </c>
      <c r="Q42" s="87">
        <f t="shared" si="10"/>
        <v>1185642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3</v>
      </c>
      <c r="D43" s="75"/>
      <c r="E43" s="76">
        <f t="shared" si="4"/>
        <v>25</v>
      </c>
      <c r="F43" s="77">
        <f t="shared" si="5"/>
        <v>28</v>
      </c>
      <c r="G43" s="78" t="str">
        <f t="shared" si="2"/>
        <v>Mar</v>
      </c>
      <c r="H43" s="79">
        <f t="shared" si="6"/>
        <v>2028</v>
      </c>
      <c r="I43" s="80">
        <f t="shared" si="7"/>
        <v>89487096</v>
      </c>
      <c r="J43" s="10"/>
      <c r="K43" s="17"/>
      <c r="L43" s="81"/>
      <c r="M43" s="17"/>
      <c r="N43" s="82">
        <f t="shared" si="9"/>
        <v>734534</v>
      </c>
      <c r="O43" s="17"/>
      <c r="P43" s="87">
        <f t="shared" si="8"/>
        <v>451108</v>
      </c>
      <c r="Q43" s="87">
        <f t="shared" si="10"/>
        <v>1185642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4</v>
      </c>
      <c r="D44" s="75"/>
      <c r="E44" s="76">
        <f t="shared" si="4"/>
        <v>26</v>
      </c>
      <c r="F44" s="77">
        <f t="shared" si="5"/>
        <v>28</v>
      </c>
      <c r="G44" s="78" t="str">
        <f t="shared" si="2"/>
        <v>Abr</v>
      </c>
      <c r="H44" s="79">
        <f t="shared" si="6"/>
        <v>2028</v>
      </c>
      <c r="I44" s="80">
        <f t="shared" si="7"/>
        <v>88748889</v>
      </c>
      <c r="J44" s="10"/>
      <c r="K44" s="17"/>
      <c r="L44" s="81"/>
      <c r="M44" s="17"/>
      <c r="N44" s="82">
        <f t="shared" si="9"/>
        <v>738207</v>
      </c>
      <c r="O44" s="17"/>
      <c r="P44" s="87">
        <f t="shared" si="8"/>
        <v>447435</v>
      </c>
      <c r="Q44" s="87">
        <f t="shared" si="10"/>
        <v>1185642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5</v>
      </c>
      <c r="D45" s="75"/>
      <c r="E45" s="76">
        <f t="shared" si="4"/>
        <v>27</v>
      </c>
      <c r="F45" s="77">
        <f t="shared" si="5"/>
        <v>28</v>
      </c>
      <c r="G45" s="78" t="str">
        <f t="shared" si="2"/>
        <v>May</v>
      </c>
      <c r="H45" s="79">
        <f t="shared" si="6"/>
        <v>2028</v>
      </c>
      <c r="I45" s="80">
        <f t="shared" si="7"/>
        <v>88006991</v>
      </c>
      <c r="J45" s="10"/>
      <c r="K45" s="17"/>
      <c r="L45" s="81"/>
      <c r="M45" s="17"/>
      <c r="N45" s="82">
        <f t="shared" si="9"/>
        <v>741898</v>
      </c>
      <c r="O45" s="17"/>
      <c r="P45" s="87">
        <f t="shared" si="8"/>
        <v>443744</v>
      </c>
      <c r="Q45" s="87">
        <f t="shared" si="10"/>
        <v>1185642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6</v>
      </c>
      <c r="D46" s="75"/>
      <c r="E46" s="76">
        <f t="shared" si="4"/>
        <v>28</v>
      </c>
      <c r="F46" s="77">
        <f t="shared" si="5"/>
        <v>28</v>
      </c>
      <c r="G46" s="78" t="str">
        <f t="shared" si="2"/>
        <v>Jun</v>
      </c>
      <c r="H46" s="79">
        <f t="shared" si="6"/>
        <v>2028</v>
      </c>
      <c r="I46" s="80">
        <f t="shared" si="7"/>
        <v>87261383</v>
      </c>
      <c r="J46" s="10"/>
      <c r="K46" s="17"/>
      <c r="L46" s="81"/>
      <c r="M46" s="17"/>
      <c r="N46" s="82">
        <f t="shared" si="9"/>
        <v>745608</v>
      </c>
      <c r="O46" s="17"/>
      <c r="P46" s="87">
        <f t="shared" si="8"/>
        <v>440034</v>
      </c>
      <c r="Q46" s="87">
        <f t="shared" si="10"/>
        <v>1185642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7</v>
      </c>
      <c r="D47" s="75"/>
      <c r="E47" s="76">
        <f t="shared" si="4"/>
        <v>29</v>
      </c>
      <c r="F47" s="77">
        <f t="shared" si="5"/>
        <v>28</v>
      </c>
      <c r="G47" s="78" t="str">
        <f t="shared" si="2"/>
        <v>Jul</v>
      </c>
      <c r="H47" s="79">
        <f t="shared" si="6"/>
        <v>2028</v>
      </c>
      <c r="I47" s="80">
        <f t="shared" si="7"/>
        <v>86512047</v>
      </c>
      <c r="J47" s="10"/>
      <c r="K47" s="17"/>
      <c r="L47" s="81"/>
      <c r="M47" s="17"/>
      <c r="N47" s="82">
        <f t="shared" si="9"/>
        <v>749336</v>
      </c>
      <c r="O47" s="17"/>
      <c r="P47" s="87">
        <f t="shared" si="8"/>
        <v>436306</v>
      </c>
      <c r="Q47" s="87">
        <f t="shared" si="10"/>
        <v>1185642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8</v>
      </c>
      <c r="D48" s="75"/>
      <c r="E48" s="76">
        <f t="shared" si="4"/>
        <v>30</v>
      </c>
      <c r="F48" s="77">
        <f t="shared" si="5"/>
        <v>28</v>
      </c>
      <c r="G48" s="78" t="str">
        <f t="shared" si="2"/>
        <v>Ago</v>
      </c>
      <c r="H48" s="79">
        <f t="shared" si="6"/>
        <v>2028</v>
      </c>
      <c r="I48" s="80">
        <f t="shared" si="7"/>
        <v>85758965</v>
      </c>
      <c r="J48" s="10"/>
      <c r="K48" s="17"/>
      <c r="L48" s="81"/>
      <c r="M48" s="17"/>
      <c r="N48" s="82">
        <f t="shared" si="9"/>
        <v>753082</v>
      </c>
      <c r="O48" s="17"/>
      <c r="P48" s="87">
        <f t="shared" si="8"/>
        <v>432560</v>
      </c>
      <c r="Q48" s="87">
        <f t="shared" si="10"/>
        <v>1185642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9</v>
      </c>
      <c r="D49" s="75"/>
      <c r="E49" s="76">
        <f t="shared" si="4"/>
        <v>31</v>
      </c>
      <c r="F49" s="77">
        <f t="shared" si="5"/>
        <v>28</v>
      </c>
      <c r="G49" s="78" t="str">
        <f t="shared" si="2"/>
        <v>Sep</v>
      </c>
      <c r="H49" s="79">
        <f t="shared" si="6"/>
        <v>2028</v>
      </c>
      <c r="I49" s="80">
        <f t="shared" si="7"/>
        <v>85002117</v>
      </c>
      <c r="J49" s="10"/>
      <c r="K49" s="17"/>
      <c r="L49" s="81"/>
      <c r="M49" s="17"/>
      <c r="N49" s="82">
        <f t="shared" si="9"/>
        <v>756848</v>
      </c>
      <c r="O49" s="17"/>
      <c r="P49" s="87">
        <f t="shared" si="8"/>
        <v>428794</v>
      </c>
      <c r="Q49" s="87">
        <f t="shared" si="10"/>
        <v>1185642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10</v>
      </c>
      <c r="D50" s="75"/>
      <c r="E50" s="76">
        <f t="shared" si="4"/>
        <v>32</v>
      </c>
      <c r="F50" s="77">
        <f t="shared" si="5"/>
        <v>28</v>
      </c>
      <c r="G50" s="78" t="str">
        <f t="shared" si="2"/>
        <v>Oct</v>
      </c>
      <c r="H50" s="79">
        <f t="shared" si="6"/>
        <v>2028</v>
      </c>
      <c r="I50" s="80">
        <f t="shared" si="7"/>
        <v>84241485</v>
      </c>
      <c r="J50" s="10"/>
      <c r="K50" s="17"/>
      <c r="L50" s="81"/>
      <c r="M50" s="17"/>
      <c r="N50" s="82">
        <f t="shared" si="9"/>
        <v>760632</v>
      </c>
      <c r="O50" s="17"/>
      <c r="P50" s="87">
        <f t="shared" si="8"/>
        <v>425010</v>
      </c>
      <c r="Q50" s="87">
        <f t="shared" si="10"/>
        <v>1185642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11</v>
      </c>
      <c r="D51" s="75"/>
      <c r="E51" s="76">
        <f t="shared" si="4"/>
        <v>33</v>
      </c>
      <c r="F51" s="77">
        <f t="shared" si="5"/>
        <v>28</v>
      </c>
      <c r="G51" s="78" t="str">
        <f t="shared" si="2"/>
        <v>Nov</v>
      </c>
      <c r="H51" s="79">
        <f t="shared" si="6"/>
        <v>2028</v>
      </c>
      <c r="I51" s="80">
        <f t="shared" si="7"/>
        <v>83477050</v>
      </c>
      <c r="J51" s="10"/>
      <c r="K51" s="17"/>
      <c r="L51" s="81"/>
      <c r="M51" s="17"/>
      <c r="N51" s="82">
        <f t="shared" si="9"/>
        <v>764435</v>
      </c>
      <c r="O51" s="17"/>
      <c r="P51" s="87">
        <f t="shared" si="8"/>
        <v>421207</v>
      </c>
      <c r="Q51" s="87">
        <f t="shared" si="10"/>
        <v>1185642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12</v>
      </c>
      <c r="D52" s="75"/>
      <c r="E52" s="76">
        <f t="shared" si="4"/>
        <v>34</v>
      </c>
      <c r="F52" s="88">
        <f t="shared" si="5"/>
        <v>28</v>
      </c>
      <c r="G52" s="78" t="str">
        <f t="shared" si="2"/>
        <v>Dic</v>
      </c>
      <c r="H52" s="89">
        <f t="shared" si="6"/>
        <v>2028</v>
      </c>
      <c r="I52" s="80">
        <f t="shared" si="7"/>
        <v>82708793</v>
      </c>
      <c r="J52" s="10"/>
      <c r="K52" s="17"/>
      <c r="L52" s="81"/>
      <c r="M52" s="17"/>
      <c r="N52" s="82">
        <f t="shared" si="9"/>
        <v>768257</v>
      </c>
      <c r="O52" s="17"/>
      <c r="P52" s="87">
        <f t="shared" si="8"/>
        <v>417385</v>
      </c>
      <c r="Q52" s="87">
        <f t="shared" si="10"/>
        <v>1185642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</v>
      </c>
      <c r="D53" s="75"/>
      <c r="E53" s="76">
        <f t="shared" si="4"/>
        <v>35</v>
      </c>
      <c r="F53" s="77">
        <f t="shared" si="5"/>
        <v>28</v>
      </c>
      <c r="G53" s="78" t="str">
        <f t="shared" si="2"/>
        <v>Ene</v>
      </c>
      <c r="H53" s="79">
        <f t="shared" si="6"/>
        <v>2029</v>
      </c>
      <c r="I53" s="80">
        <f t="shared" si="7"/>
        <v>81936694</v>
      </c>
      <c r="J53" s="10"/>
      <c r="K53" s="17"/>
      <c r="L53" s="81"/>
      <c r="M53" s="17"/>
      <c r="N53" s="82">
        <f t="shared" si="9"/>
        <v>772099</v>
      </c>
      <c r="O53" s="17"/>
      <c r="P53" s="87">
        <f t="shared" si="8"/>
        <v>413543</v>
      </c>
      <c r="Q53" s="87">
        <f t="shared" si="10"/>
        <v>1185642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2</v>
      </c>
      <c r="D54" s="75"/>
      <c r="E54" s="76">
        <f t="shared" si="4"/>
        <v>36</v>
      </c>
      <c r="F54" s="77">
        <f t="shared" si="5"/>
        <v>28</v>
      </c>
      <c r="G54" s="78" t="str">
        <f t="shared" si="2"/>
        <v>Feb</v>
      </c>
      <c r="H54" s="79">
        <f t="shared" si="6"/>
        <v>2029</v>
      </c>
      <c r="I54" s="80">
        <f t="shared" si="7"/>
        <v>81160735</v>
      </c>
      <c r="J54" s="10"/>
      <c r="K54" s="17"/>
      <c r="L54" s="81"/>
      <c r="M54" s="17"/>
      <c r="N54" s="82">
        <f t="shared" si="9"/>
        <v>775959</v>
      </c>
      <c r="O54" s="17"/>
      <c r="P54" s="87">
        <f t="shared" si="8"/>
        <v>409683</v>
      </c>
      <c r="Q54" s="87">
        <f t="shared" si="10"/>
        <v>1185642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3</v>
      </c>
      <c r="D55" s="75"/>
      <c r="E55" s="76">
        <f t="shared" si="4"/>
        <v>37</v>
      </c>
      <c r="F55" s="77">
        <f t="shared" si="5"/>
        <v>28</v>
      </c>
      <c r="G55" s="78" t="str">
        <f t="shared" si="2"/>
        <v>Mar</v>
      </c>
      <c r="H55" s="79">
        <f t="shared" si="6"/>
        <v>2029</v>
      </c>
      <c r="I55" s="80">
        <f t="shared" si="7"/>
        <v>80380896</v>
      </c>
      <c r="J55" s="10"/>
      <c r="K55" s="17"/>
      <c r="L55" s="81"/>
      <c r="M55" s="17"/>
      <c r="N55" s="82">
        <f t="shared" si="9"/>
        <v>779839</v>
      </c>
      <c r="O55" s="17"/>
      <c r="P55" s="87">
        <f t="shared" si="8"/>
        <v>405803</v>
      </c>
      <c r="Q55" s="87">
        <f t="shared" si="10"/>
        <v>1185642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4</v>
      </c>
      <c r="D56" s="75"/>
      <c r="E56" s="76">
        <f t="shared" si="4"/>
        <v>38</v>
      </c>
      <c r="F56" s="77">
        <f t="shared" si="5"/>
        <v>28</v>
      </c>
      <c r="G56" s="78" t="str">
        <f t="shared" si="2"/>
        <v>Abr</v>
      </c>
      <c r="H56" s="79">
        <f t="shared" si="6"/>
        <v>2029</v>
      </c>
      <c r="I56" s="80">
        <f t="shared" si="7"/>
        <v>79597158</v>
      </c>
      <c r="J56" s="10"/>
      <c r="K56" s="17"/>
      <c r="L56" s="81"/>
      <c r="M56" s="17"/>
      <c r="N56" s="82">
        <f t="shared" si="9"/>
        <v>783738</v>
      </c>
      <c r="O56" s="17"/>
      <c r="P56" s="87">
        <f t="shared" si="8"/>
        <v>401904</v>
      </c>
      <c r="Q56" s="87">
        <f t="shared" si="10"/>
        <v>1185642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5</v>
      </c>
      <c r="D57" s="75"/>
      <c r="E57" s="76">
        <f t="shared" si="4"/>
        <v>39</v>
      </c>
      <c r="F57" s="77">
        <f t="shared" si="5"/>
        <v>28</v>
      </c>
      <c r="G57" s="78" t="str">
        <f t="shared" si="2"/>
        <v>May</v>
      </c>
      <c r="H57" s="79">
        <f t="shared" si="6"/>
        <v>2029</v>
      </c>
      <c r="I57" s="80">
        <f t="shared" si="7"/>
        <v>78809501</v>
      </c>
      <c r="J57" s="10"/>
      <c r="K57" s="17"/>
      <c r="L57" s="81"/>
      <c r="M57" s="17"/>
      <c r="N57" s="82">
        <f t="shared" si="9"/>
        <v>787657</v>
      </c>
      <c r="O57" s="17"/>
      <c r="P57" s="87">
        <f t="shared" si="8"/>
        <v>397985</v>
      </c>
      <c r="Q57" s="87">
        <f t="shared" si="10"/>
        <v>1185642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6</v>
      </c>
      <c r="D58" s="75"/>
      <c r="E58" s="76">
        <f t="shared" si="4"/>
        <v>40</v>
      </c>
      <c r="F58" s="77">
        <f t="shared" si="5"/>
        <v>28</v>
      </c>
      <c r="G58" s="78" t="str">
        <f t="shared" si="2"/>
        <v>Jun</v>
      </c>
      <c r="H58" s="79">
        <f t="shared" si="6"/>
        <v>2029</v>
      </c>
      <c r="I58" s="80">
        <f t="shared" si="7"/>
        <v>78017906</v>
      </c>
      <c r="J58" s="10"/>
      <c r="K58" s="17"/>
      <c r="L58" s="81"/>
      <c r="M58" s="17"/>
      <c r="N58" s="82">
        <f t="shared" si="9"/>
        <v>791595</v>
      </c>
      <c r="O58" s="17"/>
      <c r="P58" s="87">
        <f t="shared" si="8"/>
        <v>394047</v>
      </c>
      <c r="Q58" s="87">
        <f t="shared" si="10"/>
        <v>1185642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7</v>
      </c>
      <c r="D59" s="75"/>
      <c r="E59" s="76">
        <f t="shared" si="4"/>
        <v>41</v>
      </c>
      <c r="F59" s="77">
        <f t="shared" si="5"/>
        <v>28</v>
      </c>
      <c r="G59" s="78" t="str">
        <f t="shared" si="2"/>
        <v>Jul</v>
      </c>
      <c r="H59" s="79">
        <f t="shared" si="6"/>
        <v>2029</v>
      </c>
      <c r="I59" s="80">
        <f t="shared" si="7"/>
        <v>77222353</v>
      </c>
      <c r="J59" s="10"/>
      <c r="K59" s="17"/>
      <c r="L59" s="81"/>
      <c r="M59" s="17"/>
      <c r="N59" s="82">
        <f t="shared" si="9"/>
        <v>795553</v>
      </c>
      <c r="O59" s="17"/>
      <c r="P59" s="87">
        <f t="shared" si="8"/>
        <v>390089</v>
      </c>
      <c r="Q59" s="87">
        <f t="shared" si="10"/>
        <v>1185642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8</v>
      </c>
      <c r="D60" s="75"/>
      <c r="E60" s="76">
        <f t="shared" si="4"/>
        <v>42</v>
      </c>
      <c r="F60" s="77">
        <f t="shared" si="5"/>
        <v>28</v>
      </c>
      <c r="G60" s="78" t="str">
        <f t="shared" si="2"/>
        <v>Ago</v>
      </c>
      <c r="H60" s="79">
        <f t="shared" si="6"/>
        <v>2029</v>
      </c>
      <c r="I60" s="80">
        <f t="shared" si="7"/>
        <v>76422822</v>
      </c>
      <c r="J60" s="10"/>
      <c r="K60" s="17"/>
      <c r="L60" s="81"/>
      <c r="M60" s="17"/>
      <c r="N60" s="82">
        <f t="shared" si="9"/>
        <v>799531</v>
      </c>
      <c r="O60" s="17"/>
      <c r="P60" s="87">
        <f t="shared" si="8"/>
        <v>386111</v>
      </c>
      <c r="Q60" s="87">
        <f t="shared" si="10"/>
        <v>1185642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9</v>
      </c>
      <c r="D61" s="75"/>
      <c r="E61" s="76">
        <f t="shared" si="4"/>
        <v>43</v>
      </c>
      <c r="F61" s="77">
        <f t="shared" si="5"/>
        <v>28</v>
      </c>
      <c r="G61" s="78" t="str">
        <f t="shared" si="2"/>
        <v>Sep</v>
      </c>
      <c r="H61" s="79">
        <f t="shared" si="6"/>
        <v>2029</v>
      </c>
      <c r="I61" s="80">
        <f t="shared" si="7"/>
        <v>75619294</v>
      </c>
      <c r="J61" s="10"/>
      <c r="K61" s="17"/>
      <c r="L61" s="81"/>
      <c r="M61" s="17"/>
      <c r="N61" s="82">
        <f t="shared" si="9"/>
        <v>803528</v>
      </c>
      <c r="O61" s="17"/>
      <c r="P61" s="87">
        <f t="shared" si="8"/>
        <v>382114</v>
      </c>
      <c r="Q61" s="87">
        <f t="shared" si="10"/>
        <v>1185642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10</v>
      </c>
      <c r="D62" s="75"/>
      <c r="E62" s="76">
        <f t="shared" si="4"/>
        <v>44</v>
      </c>
      <c r="F62" s="77">
        <f t="shared" si="5"/>
        <v>28</v>
      </c>
      <c r="G62" s="78" t="str">
        <f t="shared" si="2"/>
        <v>Oct</v>
      </c>
      <c r="H62" s="79">
        <f t="shared" si="6"/>
        <v>2029</v>
      </c>
      <c r="I62" s="80">
        <f t="shared" si="7"/>
        <v>74811748</v>
      </c>
      <c r="J62" s="10"/>
      <c r="K62" s="17"/>
      <c r="L62" s="81"/>
      <c r="M62" s="17"/>
      <c r="N62" s="82">
        <f t="shared" si="9"/>
        <v>807546</v>
      </c>
      <c r="O62" s="17"/>
      <c r="P62" s="87">
        <f t="shared" si="8"/>
        <v>378096</v>
      </c>
      <c r="Q62" s="87">
        <f t="shared" si="10"/>
        <v>1185642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11</v>
      </c>
      <c r="D63" s="75"/>
      <c r="E63" s="76">
        <f t="shared" si="4"/>
        <v>45</v>
      </c>
      <c r="F63" s="77">
        <f t="shared" si="5"/>
        <v>28</v>
      </c>
      <c r="G63" s="78" t="str">
        <f t="shared" si="2"/>
        <v>Nov</v>
      </c>
      <c r="H63" s="79">
        <f t="shared" si="6"/>
        <v>2029</v>
      </c>
      <c r="I63" s="80">
        <f t="shared" si="7"/>
        <v>74000164</v>
      </c>
      <c r="J63" s="10"/>
      <c r="K63" s="17"/>
      <c r="L63" s="81"/>
      <c r="M63" s="17"/>
      <c r="N63" s="82">
        <f t="shared" si="9"/>
        <v>811584</v>
      </c>
      <c r="O63" s="17"/>
      <c r="P63" s="87">
        <f t="shared" si="8"/>
        <v>374058</v>
      </c>
      <c r="Q63" s="87">
        <f t="shared" si="10"/>
        <v>1185642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12</v>
      </c>
      <c r="D64" s="75"/>
      <c r="E64" s="76">
        <f t="shared" si="4"/>
        <v>46</v>
      </c>
      <c r="F64" s="88">
        <f t="shared" si="5"/>
        <v>28</v>
      </c>
      <c r="G64" s="78" t="str">
        <f t="shared" si="2"/>
        <v>Dic</v>
      </c>
      <c r="H64" s="89">
        <f t="shared" si="6"/>
        <v>2029</v>
      </c>
      <c r="I64" s="80">
        <f t="shared" si="7"/>
        <v>73184522</v>
      </c>
      <c r="J64" s="10"/>
      <c r="K64" s="17"/>
      <c r="L64" s="81"/>
      <c r="M64" s="17"/>
      <c r="N64" s="82">
        <f t="shared" si="9"/>
        <v>815642</v>
      </c>
      <c r="O64" s="17"/>
      <c r="P64" s="87">
        <f t="shared" si="8"/>
        <v>370000</v>
      </c>
      <c r="Q64" s="87">
        <f t="shared" si="10"/>
        <v>1185642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</v>
      </c>
      <c r="D65" s="75"/>
      <c r="E65" s="76">
        <f t="shared" si="4"/>
        <v>47</v>
      </c>
      <c r="F65" s="77">
        <f t="shared" si="5"/>
        <v>28</v>
      </c>
      <c r="G65" s="78" t="str">
        <f t="shared" si="2"/>
        <v>Ene</v>
      </c>
      <c r="H65" s="79">
        <f t="shared" si="6"/>
        <v>2030</v>
      </c>
      <c r="I65" s="80">
        <f t="shared" si="7"/>
        <v>72364802</v>
      </c>
      <c r="J65" s="10"/>
      <c r="K65" s="17"/>
      <c r="L65" s="81"/>
      <c r="M65" s="17"/>
      <c r="N65" s="82">
        <f t="shared" si="9"/>
        <v>819720</v>
      </c>
      <c r="O65" s="17"/>
      <c r="P65" s="87">
        <f t="shared" si="8"/>
        <v>365922</v>
      </c>
      <c r="Q65" s="87">
        <f t="shared" si="10"/>
        <v>1185642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2</v>
      </c>
      <c r="D66" s="75"/>
      <c r="E66" s="76">
        <f t="shared" si="4"/>
        <v>48</v>
      </c>
      <c r="F66" s="77">
        <f t="shared" si="5"/>
        <v>28</v>
      </c>
      <c r="G66" s="78" t="str">
        <f t="shared" si="2"/>
        <v>Feb</v>
      </c>
      <c r="H66" s="79">
        <f t="shared" si="6"/>
        <v>2030</v>
      </c>
      <c r="I66" s="80">
        <f t="shared" si="7"/>
        <v>71540984</v>
      </c>
      <c r="J66" s="10"/>
      <c r="K66" s="17"/>
      <c r="L66" s="81"/>
      <c r="M66" s="17"/>
      <c r="N66" s="82">
        <f t="shared" si="9"/>
        <v>823818</v>
      </c>
      <c r="O66" s="17"/>
      <c r="P66" s="87">
        <f t="shared" si="8"/>
        <v>361824</v>
      </c>
      <c r="Q66" s="87">
        <f t="shared" si="10"/>
        <v>1185642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3</v>
      </c>
      <c r="D67" s="75"/>
      <c r="E67" s="76">
        <f t="shared" si="4"/>
        <v>49</v>
      </c>
      <c r="F67" s="77">
        <f t="shared" si="5"/>
        <v>28</v>
      </c>
      <c r="G67" s="78" t="str">
        <f t="shared" si="2"/>
        <v>Mar</v>
      </c>
      <c r="H67" s="79">
        <f t="shared" si="6"/>
        <v>2030</v>
      </c>
      <c r="I67" s="80">
        <f t="shared" si="7"/>
        <v>70713046</v>
      </c>
      <c r="J67" s="10"/>
      <c r="K67" s="17"/>
      <c r="L67" s="81"/>
      <c r="M67" s="17"/>
      <c r="N67" s="82">
        <f t="shared" si="9"/>
        <v>827938</v>
      </c>
      <c r="O67" s="17"/>
      <c r="P67" s="87">
        <f t="shared" si="8"/>
        <v>357704</v>
      </c>
      <c r="Q67" s="87">
        <f t="shared" si="10"/>
        <v>1185642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4</v>
      </c>
      <c r="D68" s="75"/>
      <c r="E68" s="76">
        <f t="shared" si="4"/>
        <v>50</v>
      </c>
      <c r="F68" s="77">
        <f t="shared" ref="F68:F74" si="11">IF(E68&gt;1,$F$18)</f>
        <v>28</v>
      </c>
      <c r="G68" s="78" t="str">
        <f t="shared" si="2"/>
        <v>Abr</v>
      </c>
      <c r="H68" s="79">
        <f t="shared" si="6"/>
        <v>2030</v>
      </c>
      <c r="I68" s="80">
        <f t="shared" si="7"/>
        <v>69880969</v>
      </c>
      <c r="J68" s="10"/>
      <c r="K68" s="17"/>
      <c r="L68" s="81"/>
      <c r="M68" s="17"/>
      <c r="N68" s="82">
        <f t="shared" si="9"/>
        <v>832077</v>
      </c>
      <c r="O68" s="17"/>
      <c r="P68" s="87">
        <f t="shared" si="8"/>
        <v>353565</v>
      </c>
      <c r="Q68" s="87">
        <f t="shared" si="10"/>
        <v>1185642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5</v>
      </c>
      <c r="D69" s="75"/>
      <c r="E69" s="76">
        <f t="shared" si="4"/>
        <v>51</v>
      </c>
      <c r="F69" s="77">
        <f t="shared" si="11"/>
        <v>28</v>
      </c>
      <c r="G69" s="78" t="str">
        <f t="shared" si="2"/>
        <v>May</v>
      </c>
      <c r="H69" s="79">
        <f t="shared" si="6"/>
        <v>2030</v>
      </c>
      <c r="I69" s="80">
        <f t="shared" si="7"/>
        <v>69044731</v>
      </c>
      <c r="J69" s="10"/>
      <c r="K69" s="17"/>
      <c r="L69" s="81"/>
      <c r="M69" s="17"/>
      <c r="N69" s="82">
        <f t="shared" si="9"/>
        <v>836238</v>
      </c>
      <c r="O69" s="17"/>
      <c r="P69" s="87">
        <f t="shared" si="8"/>
        <v>349404</v>
      </c>
      <c r="Q69" s="87">
        <f t="shared" si="10"/>
        <v>1185642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6</v>
      </c>
      <c r="D70" s="75"/>
      <c r="E70" s="76">
        <f t="shared" si="4"/>
        <v>52</v>
      </c>
      <c r="F70" s="77">
        <f t="shared" si="11"/>
        <v>28</v>
      </c>
      <c r="G70" s="78" t="str">
        <f t="shared" si="2"/>
        <v>Jun</v>
      </c>
      <c r="H70" s="79">
        <f t="shared" si="6"/>
        <v>2030</v>
      </c>
      <c r="I70" s="80">
        <f t="shared" si="7"/>
        <v>68204312</v>
      </c>
      <c r="J70" s="10"/>
      <c r="K70" s="17"/>
      <c r="L70" s="90"/>
      <c r="M70" s="91"/>
      <c r="N70" s="82">
        <f t="shared" si="9"/>
        <v>840419</v>
      </c>
      <c r="O70" s="17"/>
      <c r="P70" s="87">
        <f t="shared" si="8"/>
        <v>345223</v>
      </c>
      <c r="Q70" s="87">
        <f t="shared" si="10"/>
        <v>1185642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7</v>
      </c>
      <c r="D71" s="75"/>
      <c r="E71" s="76">
        <f t="shared" si="4"/>
        <v>53</v>
      </c>
      <c r="F71" s="77">
        <f t="shared" si="11"/>
        <v>28</v>
      </c>
      <c r="G71" s="78" t="str">
        <f t="shared" si="2"/>
        <v>Jul</v>
      </c>
      <c r="H71" s="79">
        <f t="shared" si="6"/>
        <v>2030</v>
      </c>
      <c r="I71" s="80">
        <f t="shared" si="7"/>
        <v>67359691</v>
      </c>
      <c r="J71" s="10"/>
      <c r="K71" s="17"/>
      <c r="L71" s="90"/>
      <c r="M71" s="91"/>
      <c r="N71" s="82">
        <f t="shared" si="9"/>
        <v>844621</v>
      </c>
      <c r="O71" s="17"/>
      <c r="P71" s="87">
        <f t="shared" si="8"/>
        <v>341021</v>
      </c>
      <c r="Q71" s="87">
        <f t="shared" si="10"/>
        <v>1185642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8</v>
      </c>
      <c r="D72" s="75"/>
      <c r="E72" s="76">
        <f t="shared" si="4"/>
        <v>54</v>
      </c>
      <c r="F72" s="77">
        <f t="shared" si="11"/>
        <v>28</v>
      </c>
      <c r="G72" s="78" t="str">
        <f t="shared" si="2"/>
        <v>Ago</v>
      </c>
      <c r="H72" s="79">
        <f t="shared" si="6"/>
        <v>2030</v>
      </c>
      <c r="I72" s="80">
        <f t="shared" si="7"/>
        <v>66510847</v>
      </c>
      <c r="J72" s="10"/>
      <c r="K72" s="17"/>
      <c r="L72" s="90"/>
      <c r="M72" s="91"/>
      <c r="N72" s="82">
        <f t="shared" si="9"/>
        <v>848844</v>
      </c>
      <c r="O72" s="17"/>
      <c r="P72" s="87">
        <f t="shared" si="8"/>
        <v>336798</v>
      </c>
      <c r="Q72" s="87">
        <f t="shared" si="10"/>
        <v>1185642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9</v>
      </c>
      <c r="D73" s="75"/>
      <c r="E73" s="76">
        <f t="shared" si="4"/>
        <v>55</v>
      </c>
      <c r="F73" s="77">
        <f t="shared" si="11"/>
        <v>28</v>
      </c>
      <c r="G73" s="78" t="str">
        <f t="shared" si="2"/>
        <v>Sep</v>
      </c>
      <c r="H73" s="79">
        <f t="shared" si="6"/>
        <v>2030</v>
      </c>
      <c r="I73" s="80">
        <f t="shared" si="7"/>
        <v>65657759</v>
      </c>
      <c r="J73" s="10"/>
      <c r="K73" s="17"/>
      <c r="L73" s="90"/>
      <c r="M73" s="91"/>
      <c r="N73" s="82">
        <f t="shared" si="9"/>
        <v>853088</v>
      </c>
      <c r="O73" s="17"/>
      <c r="P73" s="87">
        <f t="shared" si="8"/>
        <v>332554</v>
      </c>
      <c r="Q73" s="87">
        <f t="shared" si="10"/>
        <v>1185642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10</v>
      </c>
      <c r="D74" s="75"/>
      <c r="E74" s="76">
        <f t="shared" si="4"/>
        <v>56</v>
      </c>
      <c r="F74" s="77">
        <f t="shared" si="11"/>
        <v>28</v>
      </c>
      <c r="G74" s="78" t="str">
        <f t="shared" si="2"/>
        <v>Oct</v>
      </c>
      <c r="H74" s="79">
        <f t="shared" si="6"/>
        <v>2030</v>
      </c>
      <c r="I74" s="80">
        <f t="shared" si="7"/>
        <v>64800405</v>
      </c>
      <c r="J74" s="10"/>
      <c r="K74" s="17"/>
      <c r="L74" s="90"/>
      <c r="M74" s="91"/>
      <c r="N74" s="82">
        <f t="shared" si="9"/>
        <v>857354</v>
      </c>
      <c r="O74" s="17"/>
      <c r="P74" s="87">
        <f t="shared" si="8"/>
        <v>328288</v>
      </c>
      <c r="Q74" s="87">
        <f t="shared" si="10"/>
        <v>1185642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11</v>
      </c>
      <c r="D75" s="75"/>
      <c r="E75" s="76">
        <f t="shared" si="4"/>
        <v>57</v>
      </c>
      <c r="F75" s="77">
        <f t="shared" ref="F75:F138" si="12">$F$18</f>
        <v>28</v>
      </c>
      <c r="G75" s="78" t="str">
        <f t="shared" si="2"/>
        <v>Nov</v>
      </c>
      <c r="H75" s="79">
        <f t="shared" si="6"/>
        <v>2030</v>
      </c>
      <c r="I75" s="80">
        <f t="shared" si="7"/>
        <v>63938765</v>
      </c>
      <c r="J75" s="10"/>
      <c r="K75" s="17"/>
      <c r="L75" s="90"/>
      <c r="M75" s="91"/>
      <c r="N75" s="82">
        <f t="shared" si="9"/>
        <v>861640</v>
      </c>
      <c r="O75" s="17"/>
      <c r="P75" s="87">
        <f t="shared" si="8"/>
        <v>324002</v>
      </c>
      <c r="Q75" s="87">
        <f t="shared" si="10"/>
        <v>1185642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12</v>
      </c>
      <c r="D76" s="75"/>
      <c r="E76" s="76">
        <f t="shared" si="4"/>
        <v>58</v>
      </c>
      <c r="F76" s="88">
        <f t="shared" si="12"/>
        <v>28</v>
      </c>
      <c r="G76" s="78" t="str">
        <f t="shared" si="2"/>
        <v>Dic</v>
      </c>
      <c r="H76" s="89">
        <f t="shared" si="6"/>
        <v>2030</v>
      </c>
      <c r="I76" s="80">
        <f t="shared" si="7"/>
        <v>63072816</v>
      </c>
      <c r="J76" s="10"/>
      <c r="K76" s="17"/>
      <c r="L76" s="90"/>
      <c r="M76" s="91"/>
      <c r="N76" s="82">
        <f t="shared" si="9"/>
        <v>865949</v>
      </c>
      <c r="O76" s="17"/>
      <c r="P76" s="87">
        <f t="shared" si="8"/>
        <v>319693</v>
      </c>
      <c r="Q76" s="87">
        <f t="shared" si="10"/>
        <v>1185642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</v>
      </c>
      <c r="D77" s="75"/>
      <c r="E77" s="76">
        <f t="shared" si="4"/>
        <v>59</v>
      </c>
      <c r="F77" s="77">
        <f t="shared" si="12"/>
        <v>28</v>
      </c>
      <c r="G77" s="78" t="str">
        <f t="shared" si="2"/>
        <v>Ene</v>
      </c>
      <c r="H77" s="79">
        <f t="shared" si="6"/>
        <v>2031</v>
      </c>
      <c r="I77" s="80">
        <f t="shared" si="7"/>
        <v>62202538</v>
      </c>
      <c r="J77" s="10"/>
      <c r="K77" s="17"/>
      <c r="L77" s="90"/>
      <c r="M77" s="91"/>
      <c r="N77" s="82">
        <f t="shared" si="9"/>
        <v>870278</v>
      </c>
      <c r="O77" s="17"/>
      <c r="P77" s="87">
        <f t="shared" si="8"/>
        <v>315364</v>
      </c>
      <c r="Q77" s="87">
        <f t="shared" si="10"/>
        <v>1185642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2</v>
      </c>
      <c r="D78" s="75"/>
      <c r="E78" s="76">
        <f t="shared" si="4"/>
        <v>60</v>
      </c>
      <c r="F78" s="77">
        <f t="shared" si="12"/>
        <v>28</v>
      </c>
      <c r="G78" s="78" t="str">
        <f t="shared" si="2"/>
        <v>Feb</v>
      </c>
      <c r="H78" s="79">
        <f t="shared" si="6"/>
        <v>2031</v>
      </c>
      <c r="I78" s="80">
        <f t="shared" si="7"/>
        <v>61327908</v>
      </c>
      <c r="J78" s="10"/>
      <c r="K78" s="17"/>
      <c r="L78" s="81"/>
      <c r="M78" s="17"/>
      <c r="N78" s="82">
        <f t="shared" si="9"/>
        <v>874630</v>
      </c>
      <c r="O78" s="17"/>
      <c r="P78" s="87">
        <f t="shared" si="8"/>
        <v>311012</v>
      </c>
      <c r="Q78" s="87">
        <f t="shared" si="10"/>
        <v>1185642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3</v>
      </c>
      <c r="D79" s="75"/>
      <c r="E79" s="76">
        <f t="shared" si="4"/>
        <v>61</v>
      </c>
      <c r="F79" s="77">
        <f t="shared" si="12"/>
        <v>28</v>
      </c>
      <c r="G79" s="78" t="str">
        <f t="shared" si="2"/>
        <v>Mar</v>
      </c>
      <c r="H79" s="79">
        <f t="shared" si="6"/>
        <v>2031</v>
      </c>
      <c r="I79" s="80">
        <f t="shared" si="7"/>
        <v>60448905</v>
      </c>
      <c r="J79" s="10"/>
      <c r="K79" s="17"/>
      <c r="L79" s="81"/>
      <c r="M79" s="17"/>
      <c r="N79" s="82">
        <f t="shared" si="9"/>
        <v>879003</v>
      </c>
      <c r="O79" s="17"/>
      <c r="P79" s="87">
        <f t="shared" si="8"/>
        <v>306639</v>
      </c>
      <c r="Q79" s="87">
        <f t="shared" si="10"/>
        <v>1185642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4</v>
      </c>
      <c r="D80" s="75"/>
      <c r="E80" s="76">
        <f t="shared" si="4"/>
        <v>62</v>
      </c>
      <c r="F80" s="77">
        <f t="shared" si="12"/>
        <v>28</v>
      </c>
      <c r="G80" s="78" t="str">
        <f t="shared" si="2"/>
        <v>Abr</v>
      </c>
      <c r="H80" s="79">
        <f t="shared" si="6"/>
        <v>2031</v>
      </c>
      <c r="I80" s="80">
        <f t="shared" si="7"/>
        <v>59565507</v>
      </c>
      <c r="J80" s="10"/>
      <c r="K80" s="17"/>
      <c r="L80" s="81"/>
      <c r="M80" s="17"/>
      <c r="N80" s="82">
        <f t="shared" si="9"/>
        <v>883398</v>
      </c>
      <c r="O80" s="17"/>
      <c r="P80" s="87">
        <f t="shared" si="8"/>
        <v>302244</v>
      </c>
      <c r="Q80" s="87">
        <f t="shared" si="10"/>
        <v>1185642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5</v>
      </c>
      <c r="D81" s="75"/>
      <c r="E81" s="76">
        <f t="shared" si="4"/>
        <v>63</v>
      </c>
      <c r="F81" s="77">
        <f t="shared" si="12"/>
        <v>28</v>
      </c>
      <c r="G81" s="78" t="str">
        <f t="shared" si="2"/>
        <v>May</v>
      </c>
      <c r="H81" s="79">
        <f t="shared" si="6"/>
        <v>2031</v>
      </c>
      <c r="I81" s="80">
        <f t="shared" si="7"/>
        <v>58677692</v>
      </c>
      <c r="J81" s="10"/>
      <c r="K81" s="17"/>
      <c r="L81" s="81"/>
      <c r="M81" s="17"/>
      <c r="N81" s="82">
        <f t="shared" si="9"/>
        <v>887815</v>
      </c>
      <c r="O81" s="17"/>
      <c r="P81" s="87">
        <f t="shared" si="8"/>
        <v>297827</v>
      </c>
      <c r="Q81" s="87">
        <f t="shared" si="10"/>
        <v>1185642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6</v>
      </c>
      <c r="D82" s="75"/>
      <c r="E82" s="76">
        <f t="shared" si="4"/>
        <v>64</v>
      </c>
      <c r="F82" s="77">
        <f t="shared" si="12"/>
        <v>28</v>
      </c>
      <c r="G82" s="78" t="str">
        <f t="shared" si="2"/>
        <v>Jun</v>
      </c>
      <c r="H82" s="79">
        <f t="shared" si="6"/>
        <v>2031</v>
      </c>
      <c r="I82" s="80">
        <f t="shared" si="7"/>
        <v>57785438</v>
      </c>
      <c r="J82" s="10"/>
      <c r="K82" s="17"/>
      <c r="L82" s="81"/>
      <c r="M82" s="17"/>
      <c r="N82" s="82">
        <f t="shared" si="9"/>
        <v>892254</v>
      </c>
      <c r="O82" s="17"/>
      <c r="P82" s="87">
        <f t="shared" si="8"/>
        <v>293388</v>
      </c>
      <c r="Q82" s="87">
        <f t="shared" si="10"/>
        <v>1185642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7</v>
      </c>
      <c r="D83" s="75"/>
      <c r="E83" s="76">
        <f t="shared" si="4"/>
        <v>65</v>
      </c>
      <c r="F83" s="77">
        <f t="shared" si="12"/>
        <v>28</v>
      </c>
      <c r="G83" s="78" t="str">
        <f t="shared" si="2"/>
        <v>Jul</v>
      </c>
      <c r="H83" s="79">
        <f t="shared" si="6"/>
        <v>2031</v>
      </c>
      <c r="I83" s="80">
        <f t="shared" si="7"/>
        <v>56888723</v>
      </c>
      <c r="J83" s="10"/>
      <c r="K83" s="17"/>
      <c r="L83" s="81"/>
      <c r="M83" s="17"/>
      <c r="N83" s="82">
        <f t="shared" si="9"/>
        <v>896715</v>
      </c>
      <c r="O83" s="17"/>
      <c r="P83" s="87">
        <f t="shared" si="8"/>
        <v>288927</v>
      </c>
      <c r="Q83" s="87">
        <f t="shared" si="10"/>
        <v>1185642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8</v>
      </c>
      <c r="D84" s="75"/>
      <c r="E84" s="76">
        <f t="shared" si="4"/>
        <v>66</v>
      </c>
      <c r="F84" s="77">
        <f t="shared" si="12"/>
        <v>28</v>
      </c>
      <c r="G84" s="78" t="str">
        <f t="shared" si="2"/>
        <v>Ago</v>
      </c>
      <c r="H84" s="79">
        <f t="shared" si="6"/>
        <v>2031</v>
      </c>
      <c r="I84" s="80">
        <f t="shared" si="7"/>
        <v>55987524</v>
      </c>
      <c r="J84" s="10"/>
      <c r="K84" s="17"/>
      <c r="L84" s="81"/>
      <c r="M84" s="17"/>
      <c r="N84" s="82">
        <f t="shared" si="9"/>
        <v>901199</v>
      </c>
      <c r="O84" s="17"/>
      <c r="P84" s="87">
        <f t="shared" si="8"/>
        <v>284443</v>
      </c>
      <c r="Q84" s="87">
        <f t="shared" si="10"/>
        <v>1185642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9</v>
      </c>
      <c r="D85" s="75"/>
      <c r="E85" s="76">
        <f t="shared" si="4"/>
        <v>67</v>
      </c>
      <c r="F85" s="77">
        <f t="shared" si="12"/>
        <v>28</v>
      </c>
      <c r="G85" s="78" t="str">
        <f t="shared" si="2"/>
        <v>Sep</v>
      </c>
      <c r="H85" s="79">
        <f t="shared" si="6"/>
        <v>2031</v>
      </c>
      <c r="I85" s="80">
        <f t="shared" si="7"/>
        <v>55081819</v>
      </c>
      <c r="J85" s="10"/>
      <c r="K85" s="17"/>
      <c r="L85" s="81"/>
      <c r="M85" s="17"/>
      <c r="N85" s="82">
        <f t="shared" si="9"/>
        <v>905705</v>
      </c>
      <c r="O85" s="17"/>
      <c r="P85" s="87">
        <f t="shared" si="8"/>
        <v>279937</v>
      </c>
      <c r="Q85" s="87">
        <f t="shared" si="10"/>
        <v>1185642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10</v>
      </c>
      <c r="D86" s="75"/>
      <c r="E86" s="76">
        <f t="shared" si="4"/>
        <v>68</v>
      </c>
      <c r="F86" s="77">
        <f t="shared" si="12"/>
        <v>28</v>
      </c>
      <c r="G86" s="78" t="str">
        <f t="shared" si="2"/>
        <v>Oct</v>
      </c>
      <c r="H86" s="79">
        <f t="shared" si="6"/>
        <v>2031</v>
      </c>
      <c r="I86" s="80">
        <f t="shared" si="7"/>
        <v>54171586</v>
      </c>
      <c r="J86" s="10"/>
      <c r="K86" s="17"/>
      <c r="L86" s="81"/>
      <c r="M86" s="17"/>
      <c r="N86" s="82">
        <f t="shared" si="9"/>
        <v>910233</v>
      </c>
      <c r="O86" s="17"/>
      <c r="P86" s="87">
        <f t="shared" si="8"/>
        <v>275409</v>
      </c>
      <c r="Q86" s="87">
        <f t="shared" si="10"/>
        <v>1185642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11</v>
      </c>
      <c r="D87" s="75"/>
      <c r="E87" s="76">
        <f t="shared" si="4"/>
        <v>69</v>
      </c>
      <c r="F87" s="77">
        <f t="shared" si="12"/>
        <v>28</v>
      </c>
      <c r="G87" s="78" t="str">
        <f t="shared" si="2"/>
        <v>Nov</v>
      </c>
      <c r="H87" s="79">
        <f t="shared" si="6"/>
        <v>2031</v>
      </c>
      <c r="I87" s="80">
        <f t="shared" si="7"/>
        <v>53256801</v>
      </c>
      <c r="J87" s="10"/>
      <c r="K87" s="17"/>
      <c r="L87" s="81"/>
      <c r="M87" s="17"/>
      <c r="N87" s="82">
        <f t="shared" si="9"/>
        <v>914785</v>
      </c>
      <c r="O87" s="17"/>
      <c r="P87" s="87">
        <f t="shared" si="8"/>
        <v>270857</v>
      </c>
      <c r="Q87" s="87">
        <f t="shared" si="10"/>
        <v>1185642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12</v>
      </c>
      <c r="D88" s="75"/>
      <c r="E88" s="76">
        <f t="shared" si="4"/>
        <v>70</v>
      </c>
      <c r="F88" s="88">
        <f t="shared" si="12"/>
        <v>28</v>
      </c>
      <c r="G88" s="78" t="str">
        <f t="shared" si="2"/>
        <v>Dic</v>
      </c>
      <c r="H88" s="89">
        <f t="shared" si="6"/>
        <v>2031</v>
      </c>
      <c r="I88" s="80">
        <f t="shared" si="7"/>
        <v>52337443</v>
      </c>
      <c r="J88" s="10"/>
      <c r="K88" s="17"/>
      <c r="L88" s="81"/>
      <c r="M88" s="17"/>
      <c r="N88" s="82">
        <f t="shared" si="9"/>
        <v>919358</v>
      </c>
      <c r="O88" s="17"/>
      <c r="P88" s="87">
        <f t="shared" si="8"/>
        <v>266284</v>
      </c>
      <c r="Q88" s="87">
        <f t="shared" si="10"/>
        <v>1185642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</v>
      </c>
      <c r="D89" s="75"/>
      <c r="E89" s="76">
        <f t="shared" si="4"/>
        <v>71</v>
      </c>
      <c r="F89" s="77">
        <f t="shared" si="12"/>
        <v>28</v>
      </c>
      <c r="G89" s="78" t="str">
        <f t="shared" si="2"/>
        <v>Ene</v>
      </c>
      <c r="H89" s="79">
        <f t="shared" si="6"/>
        <v>2032</v>
      </c>
      <c r="I89" s="80">
        <f t="shared" si="7"/>
        <v>51413488</v>
      </c>
      <c r="J89" s="10"/>
      <c r="K89" s="17"/>
      <c r="L89" s="81"/>
      <c r="M89" s="17"/>
      <c r="N89" s="82">
        <f t="shared" si="9"/>
        <v>923955</v>
      </c>
      <c r="O89" s="17"/>
      <c r="P89" s="87">
        <f t="shared" si="8"/>
        <v>261687</v>
      </c>
      <c r="Q89" s="87">
        <f t="shared" si="10"/>
        <v>1185642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2</v>
      </c>
      <c r="D90" s="75"/>
      <c r="E90" s="76">
        <f t="shared" si="4"/>
        <v>72</v>
      </c>
      <c r="F90" s="77">
        <f t="shared" si="12"/>
        <v>28</v>
      </c>
      <c r="G90" s="78" t="str">
        <f t="shared" si="2"/>
        <v>Feb</v>
      </c>
      <c r="H90" s="79">
        <f t="shared" si="6"/>
        <v>2032</v>
      </c>
      <c r="I90" s="80">
        <f t="shared" si="7"/>
        <v>50484913</v>
      </c>
      <c r="J90" s="10"/>
      <c r="K90" s="17"/>
      <c r="L90" s="81"/>
      <c r="M90" s="17"/>
      <c r="N90" s="82">
        <f t="shared" si="9"/>
        <v>928575</v>
      </c>
      <c r="O90" s="17"/>
      <c r="P90" s="87">
        <f t="shared" si="8"/>
        <v>257067</v>
      </c>
      <c r="Q90" s="87">
        <f t="shared" si="10"/>
        <v>1185642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3</v>
      </c>
      <c r="D91" s="75"/>
      <c r="E91" s="76">
        <f t="shared" si="4"/>
        <v>73</v>
      </c>
      <c r="F91" s="77">
        <f t="shared" si="12"/>
        <v>28</v>
      </c>
      <c r="G91" s="78" t="str">
        <f t="shared" si="2"/>
        <v>Mar</v>
      </c>
      <c r="H91" s="79">
        <f t="shared" si="6"/>
        <v>2032</v>
      </c>
      <c r="I91" s="80">
        <f t="shared" si="7"/>
        <v>49551695</v>
      </c>
      <c r="J91" s="10"/>
      <c r="K91" s="17"/>
      <c r="L91" s="81"/>
      <c r="M91" s="17"/>
      <c r="N91" s="82">
        <f t="shared" si="9"/>
        <v>933218</v>
      </c>
      <c r="O91" s="17"/>
      <c r="P91" s="87">
        <f t="shared" si="8"/>
        <v>252424</v>
      </c>
      <c r="Q91" s="87">
        <f t="shared" si="10"/>
        <v>1185642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4</v>
      </c>
      <c r="D92" s="75"/>
      <c r="E92" s="76">
        <f t="shared" si="4"/>
        <v>74</v>
      </c>
      <c r="F92" s="77">
        <f t="shared" si="12"/>
        <v>28</v>
      </c>
      <c r="G92" s="78" t="str">
        <f t="shared" si="2"/>
        <v>Abr</v>
      </c>
      <c r="H92" s="79">
        <f t="shared" si="6"/>
        <v>2032</v>
      </c>
      <c r="I92" s="80">
        <f t="shared" si="7"/>
        <v>48613811</v>
      </c>
      <c r="J92" s="10"/>
      <c r="K92" s="17"/>
      <c r="L92" s="81"/>
      <c r="M92" s="17"/>
      <c r="N92" s="82">
        <f t="shared" si="9"/>
        <v>937884</v>
      </c>
      <c r="O92" s="17"/>
      <c r="P92" s="87">
        <f t="shared" si="8"/>
        <v>247758</v>
      </c>
      <c r="Q92" s="87">
        <f t="shared" si="10"/>
        <v>1185642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5</v>
      </c>
      <c r="D93" s="75"/>
      <c r="E93" s="76">
        <f t="shared" si="4"/>
        <v>75</v>
      </c>
      <c r="F93" s="77">
        <f t="shared" si="12"/>
        <v>28</v>
      </c>
      <c r="G93" s="78" t="str">
        <f t="shared" si="2"/>
        <v>May</v>
      </c>
      <c r="H93" s="79">
        <f t="shared" si="6"/>
        <v>2032</v>
      </c>
      <c r="I93" s="80">
        <f t="shared" si="7"/>
        <v>47671238</v>
      </c>
      <c r="J93" s="10"/>
      <c r="K93" s="17"/>
      <c r="L93" s="81"/>
      <c r="M93" s="17"/>
      <c r="N93" s="82">
        <f t="shared" si="9"/>
        <v>942573</v>
      </c>
      <c r="O93" s="17"/>
      <c r="P93" s="87">
        <f t="shared" si="8"/>
        <v>243069</v>
      </c>
      <c r="Q93" s="87">
        <f t="shared" si="10"/>
        <v>1185642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6</v>
      </c>
      <c r="D94" s="75"/>
      <c r="E94" s="76">
        <f t="shared" si="4"/>
        <v>76</v>
      </c>
      <c r="F94" s="77">
        <f t="shared" si="12"/>
        <v>28</v>
      </c>
      <c r="G94" s="78" t="str">
        <f t="shared" si="2"/>
        <v>Jun</v>
      </c>
      <c r="H94" s="79">
        <f t="shared" si="6"/>
        <v>2032</v>
      </c>
      <c r="I94" s="80">
        <f t="shared" si="7"/>
        <v>46723952</v>
      </c>
      <c r="J94" s="10"/>
      <c r="K94" s="17"/>
      <c r="L94" s="81"/>
      <c r="M94" s="17"/>
      <c r="N94" s="82">
        <f t="shared" si="9"/>
        <v>947286</v>
      </c>
      <c r="O94" s="17"/>
      <c r="P94" s="87">
        <f t="shared" si="8"/>
        <v>238356</v>
      </c>
      <c r="Q94" s="87">
        <f t="shared" si="10"/>
        <v>1185642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7</v>
      </c>
      <c r="D95" s="75"/>
      <c r="E95" s="76">
        <f t="shared" si="4"/>
        <v>77</v>
      </c>
      <c r="F95" s="77">
        <f t="shared" si="12"/>
        <v>28</v>
      </c>
      <c r="G95" s="78" t="str">
        <f t="shared" si="2"/>
        <v>Jul</v>
      </c>
      <c r="H95" s="79">
        <f t="shared" si="6"/>
        <v>2032</v>
      </c>
      <c r="I95" s="80">
        <f t="shared" si="7"/>
        <v>45771929</v>
      </c>
      <c r="J95" s="10"/>
      <c r="K95" s="17"/>
      <c r="L95" s="81"/>
      <c r="M95" s="17"/>
      <c r="N95" s="82">
        <f t="shared" si="9"/>
        <v>952023</v>
      </c>
      <c r="O95" s="17"/>
      <c r="P95" s="87">
        <f t="shared" si="8"/>
        <v>233619</v>
      </c>
      <c r="Q95" s="87">
        <f t="shared" si="10"/>
        <v>1185642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8</v>
      </c>
      <c r="D96" s="75"/>
      <c r="E96" s="76">
        <f t="shared" si="4"/>
        <v>78</v>
      </c>
      <c r="F96" s="77">
        <f t="shared" si="12"/>
        <v>28</v>
      </c>
      <c r="G96" s="78" t="str">
        <f t="shared" si="2"/>
        <v>Ago</v>
      </c>
      <c r="H96" s="79">
        <f t="shared" si="6"/>
        <v>2032</v>
      </c>
      <c r="I96" s="80">
        <f t="shared" si="7"/>
        <v>44815146</v>
      </c>
      <c r="J96" s="10"/>
      <c r="K96" s="17"/>
      <c r="L96" s="81"/>
      <c r="M96" s="17"/>
      <c r="N96" s="82">
        <f t="shared" si="9"/>
        <v>956783</v>
      </c>
      <c r="O96" s="17"/>
      <c r="P96" s="87">
        <f t="shared" si="8"/>
        <v>228859</v>
      </c>
      <c r="Q96" s="87">
        <f t="shared" si="10"/>
        <v>1185642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9</v>
      </c>
      <c r="D97" s="75"/>
      <c r="E97" s="76">
        <f t="shared" si="4"/>
        <v>79</v>
      </c>
      <c r="F97" s="77">
        <f t="shared" si="12"/>
        <v>28</v>
      </c>
      <c r="G97" s="78" t="str">
        <f t="shared" si="2"/>
        <v>Sep</v>
      </c>
      <c r="H97" s="79">
        <f t="shared" si="6"/>
        <v>2032</v>
      </c>
      <c r="I97" s="80">
        <f t="shared" si="7"/>
        <v>43853579</v>
      </c>
      <c r="J97" s="10"/>
      <c r="K97" s="17"/>
      <c r="L97" s="81"/>
      <c r="M97" s="17"/>
      <c r="N97" s="82">
        <f t="shared" si="9"/>
        <v>961567</v>
      </c>
      <c r="O97" s="17"/>
      <c r="P97" s="87">
        <f t="shared" si="8"/>
        <v>224075</v>
      </c>
      <c r="Q97" s="87">
        <f t="shared" si="10"/>
        <v>1185642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10</v>
      </c>
      <c r="D98" s="75"/>
      <c r="E98" s="76">
        <f t="shared" si="4"/>
        <v>80</v>
      </c>
      <c r="F98" s="77">
        <f t="shared" si="12"/>
        <v>28</v>
      </c>
      <c r="G98" s="78" t="str">
        <f t="shared" si="2"/>
        <v>Oct</v>
      </c>
      <c r="H98" s="79">
        <f t="shared" si="6"/>
        <v>2032</v>
      </c>
      <c r="I98" s="80">
        <f t="shared" si="7"/>
        <v>42887204</v>
      </c>
      <c r="J98" s="10"/>
      <c r="K98" s="17"/>
      <c r="L98" s="81"/>
      <c r="M98" s="17"/>
      <c r="N98" s="82">
        <f t="shared" si="9"/>
        <v>966375</v>
      </c>
      <c r="O98" s="17"/>
      <c r="P98" s="87">
        <f t="shared" si="8"/>
        <v>219267</v>
      </c>
      <c r="Q98" s="87">
        <f t="shared" si="10"/>
        <v>1185642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11</v>
      </c>
      <c r="D99" s="75"/>
      <c r="E99" s="76">
        <f t="shared" si="4"/>
        <v>81</v>
      </c>
      <c r="F99" s="77">
        <f t="shared" si="12"/>
        <v>28</v>
      </c>
      <c r="G99" s="78" t="str">
        <f t="shared" si="2"/>
        <v>Nov</v>
      </c>
      <c r="H99" s="79">
        <f t="shared" si="6"/>
        <v>2032</v>
      </c>
      <c r="I99" s="80">
        <f t="shared" si="7"/>
        <v>41915998</v>
      </c>
      <c r="J99" s="10"/>
      <c r="K99" s="17"/>
      <c r="L99" s="81"/>
      <c r="M99" s="17"/>
      <c r="N99" s="82">
        <f t="shared" si="9"/>
        <v>971206</v>
      </c>
      <c r="O99" s="17"/>
      <c r="P99" s="87">
        <f t="shared" si="8"/>
        <v>214436</v>
      </c>
      <c r="Q99" s="87">
        <f t="shared" si="10"/>
        <v>1185642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12</v>
      </c>
      <c r="D100" s="75"/>
      <c r="E100" s="76">
        <f t="shared" si="4"/>
        <v>82</v>
      </c>
      <c r="F100" s="88">
        <f t="shared" si="12"/>
        <v>28</v>
      </c>
      <c r="G100" s="78" t="str">
        <f t="shared" si="2"/>
        <v>Dic</v>
      </c>
      <c r="H100" s="89">
        <f t="shared" si="6"/>
        <v>2032</v>
      </c>
      <c r="I100" s="80">
        <f t="shared" si="7"/>
        <v>40939935</v>
      </c>
      <c r="J100" s="10"/>
      <c r="K100" s="17"/>
      <c r="L100" s="81"/>
      <c r="M100" s="17"/>
      <c r="N100" s="82">
        <f t="shared" si="9"/>
        <v>976063</v>
      </c>
      <c r="O100" s="17"/>
      <c r="P100" s="87">
        <f t="shared" si="8"/>
        <v>209579</v>
      </c>
      <c r="Q100" s="87">
        <f t="shared" si="10"/>
        <v>1185642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</v>
      </c>
      <c r="D101" s="75"/>
      <c r="E101" s="76">
        <f t="shared" si="4"/>
        <v>83</v>
      </c>
      <c r="F101" s="77">
        <f t="shared" si="12"/>
        <v>28</v>
      </c>
      <c r="G101" s="78" t="str">
        <f t="shared" si="2"/>
        <v>Ene</v>
      </c>
      <c r="H101" s="79">
        <f t="shared" si="6"/>
        <v>2033</v>
      </c>
      <c r="I101" s="80">
        <f t="shared" si="7"/>
        <v>39958992</v>
      </c>
      <c r="J101" s="10"/>
      <c r="K101" s="17"/>
      <c r="L101" s="81"/>
      <c r="M101" s="17"/>
      <c r="N101" s="82">
        <f t="shared" si="9"/>
        <v>980943</v>
      </c>
      <c r="O101" s="17"/>
      <c r="P101" s="87">
        <f t="shared" si="8"/>
        <v>204699</v>
      </c>
      <c r="Q101" s="87">
        <f t="shared" si="10"/>
        <v>1185642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2</v>
      </c>
      <c r="D102" s="75"/>
      <c r="E102" s="76">
        <f t="shared" si="4"/>
        <v>84</v>
      </c>
      <c r="F102" s="77">
        <f t="shared" si="12"/>
        <v>28</v>
      </c>
      <c r="G102" s="78" t="str">
        <f t="shared" si="2"/>
        <v>Feb</v>
      </c>
      <c r="H102" s="79">
        <f t="shared" si="6"/>
        <v>2033</v>
      </c>
      <c r="I102" s="80">
        <f t="shared" si="7"/>
        <v>38973144</v>
      </c>
      <c r="J102" s="10"/>
      <c r="K102" s="17"/>
      <c r="L102" s="81"/>
      <c r="M102" s="17"/>
      <c r="N102" s="82">
        <f t="shared" si="9"/>
        <v>985848</v>
      </c>
      <c r="O102" s="17"/>
      <c r="P102" s="87">
        <f t="shared" si="8"/>
        <v>199794</v>
      </c>
      <c r="Q102" s="87">
        <f t="shared" si="10"/>
        <v>1185642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3</v>
      </c>
      <c r="D103" s="75"/>
      <c r="E103" s="76">
        <f t="shared" si="4"/>
        <v>85</v>
      </c>
      <c r="F103" s="77">
        <f t="shared" si="12"/>
        <v>28</v>
      </c>
      <c r="G103" s="78" t="str">
        <f t="shared" si="2"/>
        <v>Mar</v>
      </c>
      <c r="H103" s="79">
        <f t="shared" si="6"/>
        <v>2033</v>
      </c>
      <c r="I103" s="80">
        <f t="shared" si="7"/>
        <v>37982367</v>
      </c>
      <c r="J103" s="10"/>
      <c r="K103" s="17"/>
      <c r="L103" s="81"/>
      <c r="M103" s="17"/>
      <c r="N103" s="82">
        <f t="shared" si="9"/>
        <v>990777</v>
      </c>
      <c r="O103" s="17"/>
      <c r="P103" s="87">
        <f t="shared" si="8"/>
        <v>194865</v>
      </c>
      <c r="Q103" s="87">
        <f t="shared" si="10"/>
        <v>1185642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4</v>
      </c>
      <c r="D104" s="75"/>
      <c r="E104" s="76">
        <f t="shared" si="4"/>
        <v>86</v>
      </c>
      <c r="F104" s="77">
        <f t="shared" si="12"/>
        <v>28</v>
      </c>
      <c r="G104" s="78" t="str">
        <f t="shared" si="2"/>
        <v>Abr</v>
      </c>
      <c r="H104" s="79">
        <f t="shared" si="6"/>
        <v>2033</v>
      </c>
      <c r="I104" s="80">
        <f t="shared" si="7"/>
        <v>36986636</v>
      </c>
      <c r="J104" s="10"/>
      <c r="K104" s="17"/>
      <c r="L104" s="81"/>
      <c r="M104" s="17"/>
      <c r="N104" s="82">
        <f t="shared" si="9"/>
        <v>995731</v>
      </c>
      <c r="O104" s="17"/>
      <c r="P104" s="87">
        <f t="shared" si="8"/>
        <v>189911</v>
      </c>
      <c r="Q104" s="87">
        <f t="shared" si="10"/>
        <v>1185642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5</v>
      </c>
      <c r="D105" s="75"/>
      <c r="E105" s="76">
        <f t="shared" si="4"/>
        <v>87</v>
      </c>
      <c r="F105" s="77">
        <f t="shared" si="12"/>
        <v>28</v>
      </c>
      <c r="G105" s="78" t="str">
        <f t="shared" si="2"/>
        <v>May</v>
      </c>
      <c r="H105" s="79">
        <f t="shared" si="6"/>
        <v>2033</v>
      </c>
      <c r="I105" s="80">
        <f t="shared" si="7"/>
        <v>35985927</v>
      </c>
      <c r="J105" s="10"/>
      <c r="K105" s="17"/>
      <c r="L105" s="81"/>
      <c r="M105" s="17"/>
      <c r="N105" s="82">
        <f t="shared" si="9"/>
        <v>1000709</v>
      </c>
      <c r="O105" s="17"/>
      <c r="P105" s="87">
        <f t="shared" si="8"/>
        <v>184933</v>
      </c>
      <c r="Q105" s="87">
        <f t="shared" si="10"/>
        <v>1185642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6</v>
      </c>
      <c r="D106" s="75"/>
      <c r="E106" s="76">
        <f t="shared" si="4"/>
        <v>88</v>
      </c>
      <c r="F106" s="77">
        <f t="shared" si="12"/>
        <v>28</v>
      </c>
      <c r="G106" s="78" t="str">
        <f t="shared" si="2"/>
        <v>Jun</v>
      </c>
      <c r="H106" s="79">
        <f t="shared" si="6"/>
        <v>2033</v>
      </c>
      <c r="I106" s="80">
        <f t="shared" si="7"/>
        <v>34980214</v>
      </c>
      <c r="J106" s="10"/>
      <c r="K106" s="17"/>
      <c r="L106" s="81"/>
      <c r="M106" s="17"/>
      <c r="N106" s="82">
        <f t="shared" si="9"/>
        <v>1005713</v>
      </c>
      <c r="O106" s="17"/>
      <c r="P106" s="87">
        <f t="shared" si="8"/>
        <v>179929</v>
      </c>
      <c r="Q106" s="87">
        <f t="shared" si="10"/>
        <v>1185642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7</v>
      </c>
      <c r="D107" s="75"/>
      <c r="E107" s="76">
        <f t="shared" si="4"/>
        <v>89</v>
      </c>
      <c r="F107" s="77">
        <f t="shared" si="12"/>
        <v>28</v>
      </c>
      <c r="G107" s="78" t="str">
        <f t="shared" si="2"/>
        <v>Jul</v>
      </c>
      <c r="H107" s="79">
        <f t="shared" si="6"/>
        <v>2033</v>
      </c>
      <c r="I107" s="80">
        <f t="shared" si="7"/>
        <v>33969473</v>
      </c>
      <c r="J107" s="10"/>
      <c r="K107" s="17"/>
      <c r="L107" s="81"/>
      <c r="M107" s="17"/>
      <c r="N107" s="82">
        <f t="shared" si="9"/>
        <v>1010741</v>
      </c>
      <c r="O107" s="17"/>
      <c r="P107" s="87">
        <f t="shared" si="8"/>
        <v>174901</v>
      </c>
      <c r="Q107" s="87">
        <f t="shared" si="10"/>
        <v>1185642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8</v>
      </c>
      <c r="D108" s="75"/>
      <c r="E108" s="76">
        <f t="shared" si="4"/>
        <v>90</v>
      </c>
      <c r="F108" s="77">
        <f t="shared" si="12"/>
        <v>28</v>
      </c>
      <c r="G108" s="78" t="str">
        <f t="shared" si="2"/>
        <v>Ago</v>
      </c>
      <c r="H108" s="79">
        <f t="shared" si="6"/>
        <v>2033</v>
      </c>
      <c r="I108" s="80">
        <f t="shared" si="7"/>
        <v>32953678</v>
      </c>
      <c r="J108" s="10"/>
      <c r="K108" s="17"/>
      <c r="L108" s="81"/>
      <c r="M108" s="17"/>
      <c r="N108" s="82">
        <f t="shared" si="9"/>
        <v>1015795</v>
      </c>
      <c r="O108" s="17"/>
      <c r="P108" s="87">
        <f t="shared" si="8"/>
        <v>169847</v>
      </c>
      <c r="Q108" s="87">
        <f t="shared" si="10"/>
        <v>1185642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9</v>
      </c>
      <c r="D109" s="75"/>
      <c r="E109" s="76">
        <f t="shared" si="4"/>
        <v>91</v>
      </c>
      <c r="F109" s="77">
        <f t="shared" si="12"/>
        <v>28</v>
      </c>
      <c r="G109" s="78" t="str">
        <f t="shared" si="2"/>
        <v>Sep</v>
      </c>
      <c r="H109" s="79">
        <f t="shared" si="6"/>
        <v>2033</v>
      </c>
      <c r="I109" s="80">
        <f t="shared" si="7"/>
        <v>31932804</v>
      </c>
      <c r="J109" s="10"/>
      <c r="K109" s="17"/>
      <c r="L109" s="81"/>
      <c r="M109" s="17"/>
      <c r="N109" s="82">
        <f t="shared" si="9"/>
        <v>1020874</v>
      </c>
      <c r="O109" s="17"/>
      <c r="P109" s="87">
        <f t="shared" si="8"/>
        <v>164768</v>
      </c>
      <c r="Q109" s="87">
        <f t="shared" si="10"/>
        <v>1185642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10</v>
      </c>
      <c r="D110" s="75"/>
      <c r="E110" s="76">
        <f t="shared" si="4"/>
        <v>92</v>
      </c>
      <c r="F110" s="77">
        <f t="shared" si="12"/>
        <v>28</v>
      </c>
      <c r="G110" s="78" t="str">
        <f t="shared" si="2"/>
        <v>Oct</v>
      </c>
      <c r="H110" s="79">
        <f t="shared" si="6"/>
        <v>2033</v>
      </c>
      <c r="I110" s="80">
        <f t="shared" si="7"/>
        <v>30906826</v>
      </c>
      <c r="J110" s="10"/>
      <c r="K110" s="17"/>
      <c r="L110" s="81"/>
      <c r="M110" s="17"/>
      <c r="N110" s="82">
        <f t="shared" si="9"/>
        <v>1025978</v>
      </c>
      <c r="O110" s="17"/>
      <c r="P110" s="87">
        <f t="shared" si="8"/>
        <v>159664</v>
      </c>
      <c r="Q110" s="87">
        <f t="shared" si="10"/>
        <v>1185642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11</v>
      </c>
      <c r="D111" s="75"/>
      <c r="E111" s="76">
        <f t="shared" si="4"/>
        <v>93</v>
      </c>
      <c r="F111" s="77">
        <f t="shared" si="12"/>
        <v>28</v>
      </c>
      <c r="G111" s="78" t="str">
        <f t="shared" si="2"/>
        <v>Nov</v>
      </c>
      <c r="H111" s="79">
        <f t="shared" si="6"/>
        <v>2033</v>
      </c>
      <c r="I111" s="80">
        <f t="shared" si="7"/>
        <v>29875718</v>
      </c>
      <c r="J111" s="10"/>
      <c r="K111" s="17"/>
      <c r="L111" s="81"/>
      <c r="M111" s="17"/>
      <c r="N111" s="82">
        <f t="shared" si="9"/>
        <v>1031108</v>
      </c>
      <c r="O111" s="17"/>
      <c r="P111" s="87">
        <f t="shared" si="8"/>
        <v>154534</v>
      </c>
      <c r="Q111" s="87">
        <f t="shared" si="10"/>
        <v>1185642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12</v>
      </c>
      <c r="D112" s="75"/>
      <c r="E112" s="76">
        <f t="shared" si="4"/>
        <v>94</v>
      </c>
      <c r="F112" s="88">
        <f t="shared" si="12"/>
        <v>28</v>
      </c>
      <c r="G112" s="78" t="str">
        <f t="shared" si="2"/>
        <v>Dic</v>
      </c>
      <c r="H112" s="89">
        <f t="shared" si="6"/>
        <v>2033</v>
      </c>
      <c r="I112" s="80">
        <f t="shared" si="7"/>
        <v>28839454</v>
      </c>
      <c r="J112" s="10"/>
      <c r="K112" s="17"/>
      <c r="L112" s="81"/>
      <c r="M112" s="17"/>
      <c r="N112" s="82">
        <f t="shared" si="9"/>
        <v>1036264</v>
      </c>
      <c r="O112" s="17"/>
      <c r="P112" s="87">
        <f t="shared" si="8"/>
        <v>149378</v>
      </c>
      <c r="Q112" s="87">
        <f t="shared" si="10"/>
        <v>1185642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</v>
      </c>
      <c r="D113" s="75"/>
      <c r="E113" s="76">
        <f t="shared" si="4"/>
        <v>95</v>
      </c>
      <c r="F113" s="77">
        <f t="shared" si="12"/>
        <v>28</v>
      </c>
      <c r="G113" s="78" t="str">
        <f t="shared" si="2"/>
        <v>Ene</v>
      </c>
      <c r="H113" s="79">
        <f t="shared" si="6"/>
        <v>2034</v>
      </c>
      <c r="I113" s="80">
        <f t="shared" si="7"/>
        <v>27798009</v>
      </c>
      <c r="J113" s="10"/>
      <c r="K113" s="17"/>
      <c r="L113" s="81"/>
      <c r="M113" s="17"/>
      <c r="N113" s="82">
        <f t="shared" si="9"/>
        <v>1041445</v>
      </c>
      <c r="O113" s="17"/>
      <c r="P113" s="87">
        <f t="shared" si="8"/>
        <v>144197</v>
      </c>
      <c r="Q113" s="87">
        <f t="shared" si="10"/>
        <v>1185642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2</v>
      </c>
      <c r="D114" s="75"/>
      <c r="E114" s="76">
        <f t="shared" si="4"/>
        <v>96</v>
      </c>
      <c r="F114" s="77">
        <f t="shared" si="12"/>
        <v>28</v>
      </c>
      <c r="G114" s="78" t="str">
        <f t="shared" si="2"/>
        <v>Feb</v>
      </c>
      <c r="H114" s="79">
        <f t="shared" si="6"/>
        <v>2034</v>
      </c>
      <c r="I114" s="80">
        <f t="shared" si="7"/>
        <v>26751357</v>
      </c>
      <c r="J114" s="10"/>
      <c r="K114" s="17"/>
      <c r="L114" s="81"/>
      <c r="M114" s="17"/>
      <c r="N114" s="82">
        <f t="shared" si="9"/>
        <v>1046652</v>
      </c>
      <c r="O114" s="17"/>
      <c r="P114" s="87">
        <f t="shared" si="8"/>
        <v>138990</v>
      </c>
      <c r="Q114" s="87">
        <f t="shared" si="10"/>
        <v>1185642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3</v>
      </c>
      <c r="D115" s="75"/>
      <c r="E115" s="76">
        <f t="shared" si="4"/>
        <v>97</v>
      </c>
      <c r="F115" s="77">
        <f t="shared" si="12"/>
        <v>28</v>
      </c>
      <c r="G115" s="78" t="str">
        <f t="shared" si="2"/>
        <v>Mar</v>
      </c>
      <c r="H115" s="79">
        <f t="shared" si="6"/>
        <v>2034</v>
      </c>
      <c r="I115" s="80">
        <f t="shared" si="7"/>
        <v>25699471</v>
      </c>
      <c r="J115" s="10"/>
      <c r="K115" s="17"/>
      <c r="L115" s="81"/>
      <c r="M115" s="17"/>
      <c r="N115" s="82">
        <f t="shared" si="9"/>
        <v>1051886</v>
      </c>
      <c r="O115" s="17"/>
      <c r="P115" s="87">
        <f t="shared" si="8"/>
        <v>133756</v>
      </c>
      <c r="Q115" s="87">
        <f t="shared" si="10"/>
        <v>1185642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4</v>
      </c>
      <c r="D116" s="75"/>
      <c r="E116" s="76">
        <f t="shared" si="4"/>
        <v>98</v>
      </c>
      <c r="F116" s="77">
        <f t="shared" si="12"/>
        <v>28</v>
      </c>
      <c r="G116" s="78" t="str">
        <f t="shared" si="2"/>
        <v>Abr</v>
      </c>
      <c r="H116" s="79">
        <f t="shared" si="6"/>
        <v>2034</v>
      </c>
      <c r="I116" s="80">
        <f t="shared" si="7"/>
        <v>24642326</v>
      </c>
      <c r="J116" s="10"/>
      <c r="K116" s="17"/>
      <c r="L116" s="81"/>
      <c r="M116" s="17"/>
      <c r="N116" s="82">
        <f t="shared" si="9"/>
        <v>1057145</v>
      </c>
      <c r="O116" s="17"/>
      <c r="P116" s="87">
        <f t="shared" si="8"/>
        <v>128497</v>
      </c>
      <c r="Q116" s="87">
        <f t="shared" si="10"/>
        <v>1185642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5</v>
      </c>
      <c r="D117" s="75"/>
      <c r="E117" s="76">
        <f t="shared" si="4"/>
        <v>99</v>
      </c>
      <c r="F117" s="77">
        <f t="shared" si="12"/>
        <v>28</v>
      </c>
      <c r="G117" s="78" t="str">
        <f t="shared" si="2"/>
        <v>May</v>
      </c>
      <c r="H117" s="79">
        <f t="shared" si="6"/>
        <v>2034</v>
      </c>
      <c r="I117" s="80">
        <f t="shared" si="7"/>
        <v>23579895</v>
      </c>
      <c r="J117" s="10"/>
      <c r="K117" s="17"/>
      <c r="L117" s="81"/>
      <c r="M117" s="17"/>
      <c r="N117" s="82">
        <f t="shared" si="9"/>
        <v>1062431</v>
      </c>
      <c r="O117" s="17"/>
      <c r="P117" s="87">
        <f t="shared" si="8"/>
        <v>123211</v>
      </c>
      <c r="Q117" s="87">
        <f t="shared" si="10"/>
        <v>1185642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6</v>
      </c>
      <c r="D118" s="75"/>
      <c r="E118" s="76">
        <f t="shared" si="4"/>
        <v>100</v>
      </c>
      <c r="F118" s="77">
        <f t="shared" si="12"/>
        <v>28</v>
      </c>
      <c r="G118" s="78" t="str">
        <f t="shared" si="2"/>
        <v>Jun</v>
      </c>
      <c r="H118" s="79">
        <f t="shared" si="6"/>
        <v>2034</v>
      </c>
      <c r="I118" s="80">
        <f t="shared" si="7"/>
        <v>22512152</v>
      </c>
      <c r="J118" s="10"/>
      <c r="K118" s="17"/>
      <c r="L118" s="81"/>
      <c r="M118" s="17"/>
      <c r="N118" s="82">
        <f t="shared" si="9"/>
        <v>1067743</v>
      </c>
      <c r="O118" s="17"/>
      <c r="P118" s="87">
        <f t="shared" si="8"/>
        <v>117899</v>
      </c>
      <c r="Q118" s="87">
        <f t="shared" si="10"/>
        <v>1185642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7</v>
      </c>
      <c r="D119" s="75"/>
      <c r="E119" s="76">
        <f t="shared" si="4"/>
        <v>101</v>
      </c>
      <c r="F119" s="77">
        <f t="shared" si="12"/>
        <v>28</v>
      </c>
      <c r="G119" s="78" t="str">
        <f t="shared" si="2"/>
        <v>Jul</v>
      </c>
      <c r="H119" s="79">
        <f t="shared" si="6"/>
        <v>2034</v>
      </c>
      <c r="I119" s="80">
        <f t="shared" si="7"/>
        <v>21439070</v>
      </c>
      <c r="J119" s="10"/>
      <c r="K119" s="17"/>
      <c r="L119" s="81"/>
      <c r="M119" s="17"/>
      <c r="N119" s="82">
        <f t="shared" si="9"/>
        <v>1073082</v>
      </c>
      <c r="O119" s="17"/>
      <c r="P119" s="87">
        <f t="shared" si="8"/>
        <v>112560</v>
      </c>
      <c r="Q119" s="87">
        <f t="shared" si="10"/>
        <v>1185642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8</v>
      </c>
      <c r="D120" s="75"/>
      <c r="E120" s="76">
        <f t="shared" si="4"/>
        <v>102</v>
      </c>
      <c r="F120" s="77">
        <f t="shared" si="12"/>
        <v>28</v>
      </c>
      <c r="G120" s="78" t="str">
        <f t="shared" si="2"/>
        <v>Ago</v>
      </c>
      <c r="H120" s="79">
        <f t="shared" si="6"/>
        <v>2034</v>
      </c>
      <c r="I120" s="80">
        <f t="shared" si="7"/>
        <v>20360623</v>
      </c>
      <c r="J120" s="10"/>
      <c r="K120" s="17"/>
      <c r="L120" s="81"/>
      <c r="M120" s="17"/>
      <c r="N120" s="82">
        <f t="shared" si="9"/>
        <v>1078447</v>
      </c>
      <c r="O120" s="17"/>
      <c r="P120" s="87">
        <f t="shared" si="8"/>
        <v>107195</v>
      </c>
      <c r="Q120" s="87">
        <f t="shared" si="10"/>
        <v>1185642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9</v>
      </c>
      <c r="D121" s="75"/>
      <c r="E121" s="76">
        <f t="shared" si="4"/>
        <v>103</v>
      </c>
      <c r="F121" s="77">
        <f t="shared" si="12"/>
        <v>28</v>
      </c>
      <c r="G121" s="78" t="str">
        <f t="shared" si="2"/>
        <v>Sep</v>
      </c>
      <c r="H121" s="79">
        <f t="shared" si="6"/>
        <v>2034</v>
      </c>
      <c r="I121" s="80">
        <f t="shared" si="7"/>
        <v>19276784</v>
      </c>
      <c r="J121" s="10"/>
      <c r="K121" s="17"/>
      <c r="L121" s="81"/>
      <c r="M121" s="17"/>
      <c r="N121" s="82">
        <f t="shared" si="9"/>
        <v>1083839</v>
      </c>
      <c r="O121" s="17"/>
      <c r="P121" s="87">
        <f t="shared" si="8"/>
        <v>101803</v>
      </c>
      <c r="Q121" s="87">
        <f t="shared" si="10"/>
        <v>1185642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10</v>
      </c>
      <c r="D122" s="75"/>
      <c r="E122" s="76">
        <f t="shared" si="4"/>
        <v>104</v>
      </c>
      <c r="F122" s="77">
        <f t="shared" si="12"/>
        <v>28</v>
      </c>
      <c r="G122" s="78" t="str">
        <f t="shared" si="2"/>
        <v>Oct</v>
      </c>
      <c r="H122" s="79">
        <f t="shared" si="6"/>
        <v>2034</v>
      </c>
      <c r="I122" s="80">
        <f t="shared" si="7"/>
        <v>18187525</v>
      </c>
      <c r="J122" s="10"/>
      <c r="K122" s="17"/>
      <c r="L122" s="81"/>
      <c r="M122" s="17"/>
      <c r="N122" s="82">
        <f t="shared" si="9"/>
        <v>1089259</v>
      </c>
      <c r="O122" s="17"/>
      <c r="P122" s="87">
        <f t="shared" si="8"/>
        <v>96383</v>
      </c>
      <c r="Q122" s="87">
        <f t="shared" si="10"/>
        <v>1185642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11</v>
      </c>
      <c r="D123" s="75"/>
      <c r="E123" s="76">
        <f t="shared" si="4"/>
        <v>105</v>
      </c>
      <c r="F123" s="77">
        <f t="shared" si="12"/>
        <v>28</v>
      </c>
      <c r="G123" s="78" t="str">
        <f t="shared" si="2"/>
        <v>Nov</v>
      </c>
      <c r="H123" s="79">
        <f t="shared" si="6"/>
        <v>2034</v>
      </c>
      <c r="I123" s="80">
        <f t="shared" si="7"/>
        <v>17092820</v>
      </c>
      <c r="J123" s="10"/>
      <c r="K123" s="17"/>
      <c r="L123" s="81"/>
      <c r="M123" s="17"/>
      <c r="N123" s="82">
        <f t="shared" si="9"/>
        <v>1094705</v>
      </c>
      <c r="O123" s="17"/>
      <c r="P123" s="87">
        <f t="shared" si="8"/>
        <v>90937</v>
      </c>
      <c r="Q123" s="87">
        <f t="shared" si="10"/>
        <v>1185642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12</v>
      </c>
      <c r="D124" s="75"/>
      <c r="E124" s="76">
        <f t="shared" si="4"/>
        <v>106</v>
      </c>
      <c r="F124" s="88">
        <f t="shared" si="12"/>
        <v>28</v>
      </c>
      <c r="G124" s="78" t="str">
        <f t="shared" si="2"/>
        <v>Dic</v>
      </c>
      <c r="H124" s="89">
        <f t="shared" si="6"/>
        <v>2034</v>
      </c>
      <c r="I124" s="80">
        <f t="shared" si="7"/>
        <v>15992642</v>
      </c>
      <c r="J124" s="10"/>
      <c r="K124" s="17"/>
      <c r="L124" s="81"/>
      <c r="M124" s="17"/>
      <c r="N124" s="82">
        <f t="shared" si="9"/>
        <v>1100178</v>
      </c>
      <c r="O124" s="17"/>
      <c r="P124" s="87">
        <f t="shared" si="8"/>
        <v>85464</v>
      </c>
      <c r="Q124" s="87">
        <f t="shared" si="10"/>
        <v>1185642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</v>
      </c>
      <c r="D125" s="75"/>
      <c r="E125" s="76">
        <f t="shared" si="4"/>
        <v>107</v>
      </c>
      <c r="F125" s="77">
        <f t="shared" si="12"/>
        <v>28</v>
      </c>
      <c r="G125" s="78" t="str">
        <f t="shared" si="2"/>
        <v>Ene</v>
      </c>
      <c r="H125" s="79">
        <f t="shared" si="6"/>
        <v>2035</v>
      </c>
      <c r="I125" s="80">
        <f t="shared" si="7"/>
        <v>14886963</v>
      </c>
      <c r="J125" s="10"/>
      <c r="K125" s="17"/>
      <c r="L125" s="81"/>
      <c r="M125" s="17"/>
      <c r="N125" s="82">
        <f t="shared" si="9"/>
        <v>1105679</v>
      </c>
      <c r="O125" s="17"/>
      <c r="P125" s="87">
        <f t="shared" si="8"/>
        <v>79963</v>
      </c>
      <c r="Q125" s="87">
        <f t="shared" si="10"/>
        <v>1185642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2</v>
      </c>
      <c r="D126" s="75"/>
      <c r="E126" s="76">
        <f t="shared" si="4"/>
        <v>108</v>
      </c>
      <c r="F126" s="77">
        <f t="shared" si="12"/>
        <v>28</v>
      </c>
      <c r="G126" s="78" t="str">
        <f t="shared" si="2"/>
        <v>Feb</v>
      </c>
      <c r="H126" s="79">
        <f t="shared" si="6"/>
        <v>2035</v>
      </c>
      <c r="I126" s="80">
        <f t="shared" si="7"/>
        <v>13775755</v>
      </c>
      <c r="J126" s="10"/>
      <c r="K126" s="17"/>
      <c r="L126" s="81"/>
      <c r="M126" s="17"/>
      <c r="N126" s="82">
        <f t="shared" si="9"/>
        <v>1111208</v>
      </c>
      <c r="O126" s="17"/>
      <c r="P126" s="87">
        <f t="shared" si="8"/>
        <v>74434</v>
      </c>
      <c r="Q126" s="87">
        <f t="shared" si="10"/>
        <v>1185642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3</v>
      </c>
      <c r="D127" s="75"/>
      <c r="E127" s="76">
        <f t="shared" si="4"/>
        <v>109</v>
      </c>
      <c r="F127" s="77">
        <f t="shared" si="12"/>
        <v>28</v>
      </c>
      <c r="G127" s="78" t="str">
        <f t="shared" si="2"/>
        <v>Mar</v>
      </c>
      <c r="H127" s="79">
        <f t="shared" si="6"/>
        <v>2035</v>
      </c>
      <c r="I127" s="80">
        <f t="shared" si="7"/>
        <v>12658991</v>
      </c>
      <c r="J127" s="10"/>
      <c r="K127" s="17"/>
      <c r="L127" s="81"/>
      <c r="M127" s="17"/>
      <c r="N127" s="82">
        <f t="shared" si="9"/>
        <v>1116764</v>
      </c>
      <c r="O127" s="17"/>
      <c r="P127" s="87">
        <f t="shared" si="8"/>
        <v>68878</v>
      </c>
      <c r="Q127" s="87">
        <f t="shared" si="10"/>
        <v>1185642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4</v>
      </c>
      <c r="D128" s="75"/>
      <c r="E128" s="76">
        <f t="shared" si="4"/>
        <v>110</v>
      </c>
      <c r="F128" s="77">
        <f t="shared" si="12"/>
        <v>28</v>
      </c>
      <c r="G128" s="78" t="str">
        <f t="shared" si="2"/>
        <v>Abr</v>
      </c>
      <c r="H128" s="79">
        <f t="shared" si="6"/>
        <v>2035</v>
      </c>
      <c r="I128" s="80">
        <f t="shared" si="7"/>
        <v>11536643</v>
      </c>
      <c r="J128" s="10"/>
      <c r="K128" s="17"/>
      <c r="L128" s="81"/>
      <c r="M128" s="17"/>
      <c r="N128" s="82">
        <f t="shared" si="9"/>
        <v>1122348</v>
      </c>
      <c r="O128" s="17"/>
      <c r="P128" s="87">
        <f t="shared" si="8"/>
        <v>63294</v>
      </c>
      <c r="Q128" s="87">
        <f t="shared" si="10"/>
        <v>1185642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5</v>
      </c>
      <c r="D129" s="75"/>
      <c r="E129" s="76">
        <f t="shared" si="4"/>
        <v>111</v>
      </c>
      <c r="F129" s="77">
        <f t="shared" si="12"/>
        <v>28</v>
      </c>
      <c r="G129" s="78" t="str">
        <f t="shared" si="2"/>
        <v>May</v>
      </c>
      <c r="H129" s="79">
        <f t="shared" si="6"/>
        <v>2035</v>
      </c>
      <c r="I129" s="80">
        <f t="shared" si="7"/>
        <v>10408684</v>
      </c>
      <c r="J129" s="10"/>
      <c r="K129" s="17"/>
      <c r="L129" s="81"/>
      <c r="M129" s="17"/>
      <c r="N129" s="82">
        <f t="shared" si="9"/>
        <v>1127959</v>
      </c>
      <c r="O129" s="17"/>
      <c r="P129" s="87">
        <f t="shared" si="8"/>
        <v>57683</v>
      </c>
      <c r="Q129" s="87">
        <f t="shared" si="10"/>
        <v>1185642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6</v>
      </c>
      <c r="D130" s="75"/>
      <c r="E130" s="76">
        <f t="shared" si="4"/>
        <v>112</v>
      </c>
      <c r="F130" s="77">
        <f t="shared" si="12"/>
        <v>28</v>
      </c>
      <c r="G130" s="78" t="str">
        <f t="shared" si="2"/>
        <v>Jun</v>
      </c>
      <c r="H130" s="79">
        <f t="shared" si="6"/>
        <v>2035</v>
      </c>
      <c r="I130" s="80">
        <f t="shared" si="7"/>
        <v>9275085</v>
      </c>
      <c r="J130" s="10"/>
      <c r="K130" s="17"/>
      <c r="L130" s="81"/>
      <c r="M130" s="17"/>
      <c r="N130" s="82">
        <f t="shared" si="9"/>
        <v>1133599</v>
      </c>
      <c r="O130" s="17"/>
      <c r="P130" s="87">
        <f t="shared" si="8"/>
        <v>52043</v>
      </c>
      <c r="Q130" s="87">
        <f t="shared" si="10"/>
        <v>1185642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7</v>
      </c>
      <c r="D131" s="75"/>
      <c r="E131" s="76">
        <f t="shared" si="4"/>
        <v>113</v>
      </c>
      <c r="F131" s="77">
        <f t="shared" si="12"/>
        <v>28</v>
      </c>
      <c r="G131" s="78" t="str">
        <f t="shared" si="2"/>
        <v>Jul</v>
      </c>
      <c r="H131" s="79">
        <f t="shared" si="6"/>
        <v>2035</v>
      </c>
      <c r="I131" s="80">
        <f t="shared" si="7"/>
        <v>8135818</v>
      </c>
      <c r="J131" s="10"/>
      <c r="K131" s="17"/>
      <c r="L131" s="81"/>
      <c r="M131" s="17"/>
      <c r="N131" s="82">
        <f t="shared" si="9"/>
        <v>1139267</v>
      </c>
      <c r="O131" s="17"/>
      <c r="P131" s="87">
        <f t="shared" si="8"/>
        <v>46375</v>
      </c>
      <c r="Q131" s="87">
        <f t="shared" si="10"/>
        <v>1185642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8</v>
      </c>
      <c r="D132" s="75"/>
      <c r="E132" s="76">
        <f t="shared" si="4"/>
        <v>114</v>
      </c>
      <c r="F132" s="77">
        <f t="shared" si="12"/>
        <v>28</v>
      </c>
      <c r="G132" s="78" t="str">
        <f t="shared" si="2"/>
        <v>Ago</v>
      </c>
      <c r="H132" s="79">
        <f t="shared" si="6"/>
        <v>2035</v>
      </c>
      <c r="I132" s="80">
        <f t="shared" si="7"/>
        <v>6990855</v>
      </c>
      <c r="J132" s="10"/>
      <c r="K132" s="17"/>
      <c r="L132" s="81"/>
      <c r="M132" s="17"/>
      <c r="N132" s="82">
        <f t="shared" si="9"/>
        <v>1144963</v>
      </c>
      <c r="O132" s="17"/>
      <c r="P132" s="87">
        <f t="shared" si="8"/>
        <v>40679</v>
      </c>
      <c r="Q132" s="87">
        <f t="shared" si="10"/>
        <v>1185642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9</v>
      </c>
      <c r="D133" s="75"/>
      <c r="E133" s="76">
        <f t="shared" si="4"/>
        <v>115</v>
      </c>
      <c r="F133" s="77">
        <f t="shared" si="12"/>
        <v>28</v>
      </c>
      <c r="G133" s="78" t="str">
        <f t="shared" si="2"/>
        <v>Sep</v>
      </c>
      <c r="H133" s="79">
        <f t="shared" si="6"/>
        <v>2035</v>
      </c>
      <c r="I133" s="80">
        <f t="shared" si="7"/>
        <v>5840167</v>
      </c>
      <c r="J133" s="10"/>
      <c r="K133" s="17"/>
      <c r="L133" s="81"/>
      <c r="M133" s="17"/>
      <c r="N133" s="82">
        <f t="shared" si="9"/>
        <v>1150688</v>
      </c>
      <c r="O133" s="17"/>
      <c r="P133" s="87">
        <f t="shared" si="8"/>
        <v>34954</v>
      </c>
      <c r="Q133" s="87">
        <f t="shared" si="10"/>
        <v>1185642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10</v>
      </c>
      <c r="D134" s="75"/>
      <c r="E134" s="76">
        <f t="shared" si="4"/>
        <v>116</v>
      </c>
      <c r="F134" s="77">
        <f t="shared" si="12"/>
        <v>28</v>
      </c>
      <c r="G134" s="78" t="str">
        <f t="shared" si="2"/>
        <v>Oct</v>
      </c>
      <c r="H134" s="79">
        <f t="shared" si="6"/>
        <v>2035</v>
      </c>
      <c r="I134" s="80">
        <f t="shared" si="7"/>
        <v>4683725</v>
      </c>
      <c r="J134" s="10"/>
      <c r="K134" s="17"/>
      <c r="L134" s="81"/>
      <c r="M134" s="17"/>
      <c r="N134" s="82">
        <f t="shared" si="9"/>
        <v>1156442</v>
      </c>
      <c r="O134" s="17"/>
      <c r="P134" s="87">
        <f t="shared" si="8"/>
        <v>29200</v>
      </c>
      <c r="Q134" s="87">
        <f t="shared" si="10"/>
        <v>1185642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11</v>
      </c>
      <c r="D135" s="75"/>
      <c r="E135" s="76">
        <f t="shared" si="4"/>
        <v>117</v>
      </c>
      <c r="F135" s="77">
        <f t="shared" si="12"/>
        <v>28</v>
      </c>
      <c r="G135" s="78" t="str">
        <f t="shared" si="2"/>
        <v>Nov</v>
      </c>
      <c r="H135" s="79">
        <f t="shared" si="6"/>
        <v>2035</v>
      </c>
      <c r="I135" s="80">
        <f t="shared" si="7"/>
        <v>3521501</v>
      </c>
      <c r="J135" s="10"/>
      <c r="K135" s="17"/>
      <c r="L135" s="81"/>
      <c r="M135" s="17"/>
      <c r="N135" s="82">
        <f t="shared" si="9"/>
        <v>1162224</v>
      </c>
      <c r="O135" s="17"/>
      <c r="P135" s="87">
        <f t="shared" si="8"/>
        <v>23418</v>
      </c>
      <c r="Q135" s="87">
        <f t="shared" si="10"/>
        <v>1185642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12</v>
      </c>
      <c r="D136" s="75"/>
      <c r="E136" s="76">
        <f t="shared" si="4"/>
        <v>118</v>
      </c>
      <c r="F136" s="88">
        <f t="shared" si="12"/>
        <v>28</v>
      </c>
      <c r="G136" s="78" t="str">
        <f t="shared" si="2"/>
        <v>Dic</v>
      </c>
      <c r="H136" s="89">
        <f t="shared" si="6"/>
        <v>2035</v>
      </c>
      <c r="I136" s="80">
        <f t="shared" si="7"/>
        <v>2353466</v>
      </c>
      <c r="J136" s="10"/>
      <c r="K136" s="17"/>
      <c r="L136" s="81"/>
      <c r="M136" s="17"/>
      <c r="N136" s="82">
        <f t="shared" si="9"/>
        <v>1168035</v>
      </c>
      <c r="O136" s="17"/>
      <c r="P136" s="87">
        <f t="shared" si="8"/>
        <v>17607</v>
      </c>
      <c r="Q136" s="87">
        <f t="shared" si="10"/>
        <v>1185642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</v>
      </c>
      <c r="D137" s="75"/>
      <c r="E137" s="76">
        <f t="shared" si="4"/>
        <v>119</v>
      </c>
      <c r="F137" s="77">
        <f t="shared" si="12"/>
        <v>28</v>
      </c>
      <c r="G137" s="78" t="str">
        <f t="shared" si="2"/>
        <v>Ene</v>
      </c>
      <c r="H137" s="79">
        <f t="shared" si="6"/>
        <v>2036</v>
      </c>
      <c r="I137" s="80">
        <f t="shared" si="7"/>
        <v>1179591</v>
      </c>
      <c r="J137" s="10"/>
      <c r="K137" s="17"/>
      <c r="L137" s="81"/>
      <c r="M137" s="17"/>
      <c r="N137" s="82">
        <f t="shared" si="9"/>
        <v>1173875</v>
      </c>
      <c r="O137" s="17"/>
      <c r="P137" s="87">
        <f t="shared" si="8"/>
        <v>11767</v>
      </c>
      <c r="Q137" s="87">
        <f t="shared" si="10"/>
        <v>1185642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2</v>
      </c>
      <c r="D138" s="75"/>
      <c r="E138" s="76">
        <f t="shared" si="4"/>
        <v>120</v>
      </c>
      <c r="F138" s="77">
        <f t="shared" si="12"/>
        <v>28</v>
      </c>
      <c r="G138" s="78" t="str">
        <f t="shared" si="2"/>
        <v>Feb</v>
      </c>
      <c r="H138" s="79">
        <f t="shared" si="6"/>
        <v>2036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1179591</v>
      </c>
      <c r="O138" s="17"/>
      <c r="P138" s="87">
        <f t="shared" si="8"/>
        <v>5897</v>
      </c>
      <c r="Q138" s="87">
        <f t="shared" si="10"/>
        <v>1185488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/>
      <c r="B139" s="3"/>
      <c r="C139" s="3"/>
      <c r="D139" s="2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106794831</v>
      </c>
      <c r="O139" s="17"/>
      <c r="P139" s="83">
        <f t="shared" ref="P139:Q139" si="13">SUM(P19:P138)</f>
        <v>35482055</v>
      </c>
      <c r="Q139" s="83">
        <f t="shared" si="13"/>
        <v>142276886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5"/>
      <c r="B140" s="5"/>
      <c r="C140" s="5"/>
      <c r="D140" s="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5"/>
      <c r="B141" s="5"/>
      <c r="C141" s="5"/>
      <c r="D141" s="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5"/>
      <c r="B142" s="5"/>
      <c r="C142" s="5"/>
      <c r="D142" s="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5"/>
      <c r="B143" s="5"/>
      <c r="C143" s="5"/>
      <c r="D143" s="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5"/>
      <c r="B144" s="5"/>
      <c r="C144" s="5"/>
      <c r="D144" s="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5"/>
      <c r="B145" s="5"/>
      <c r="C145" s="5"/>
      <c r="D145" s="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5"/>
      <c r="B146" s="5"/>
      <c r="C146" s="5"/>
      <c r="D146" s="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5"/>
      <c r="B147" s="5"/>
      <c r="C147" s="5"/>
      <c r="D147" s="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5"/>
      <c r="B148" s="5"/>
      <c r="C148" s="5"/>
      <c r="D148" s="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5"/>
      <c r="B149" s="5"/>
      <c r="C149" s="5"/>
      <c r="D149" s="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5"/>
      <c r="B150" s="5"/>
      <c r="C150" s="5"/>
      <c r="D150" s="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5"/>
      <c r="B151" s="5"/>
      <c r="C151" s="5"/>
      <c r="D151" s="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5"/>
      <c r="B152" s="5"/>
      <c r="C152" s="5"/>
      <c r="D152" s="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5"/>
      <c r="B153" s="5"/>
      <c r="C153" s="5"/>
      <c r="D153" s="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5"/>
      <c r="B154" s="5"/>
      <c r="C154" s="5"/>
      <c r="D154" s="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5"/>
      <c r="B155" s="5"/>
      <c r="C155" s="5"/>
      <c r="D155" s="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5"/>
      <c r="B156" s="5"/>
      <c r="C156" s="5"/>
      <c r="D156" s="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5"/>
      <c r="B157" s="5"/>
      <c r="C157" s="5"/>
      <c r="D157" s="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5"/>
      <c r="B158" s="5"/>
      <c r="C158" s="5"/>
      <c r="D158" s="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5"/>
      <c r="B159" s="5"/>
      <c r="C159" s="5"/>
      <c r="D159" s="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5"/>
      <c r="B160" s="5"/>
      <c r="C160" s="5"/>
      <c r="D160" s="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5"/>
      <c r="B161" s="5"/>
      <c r="C161" s="5"/>
      <c r="D161" s="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5"/>
      <c r="B162" s="5"/>
      <c r="C162" s="5"/>
      <c r="D162" s="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5"/>
      <c r="B163" s="5"/>
      <c r="C163" s="5"/>
      <c r="D163" s="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5"/>
      <c r="B164" s="5"/>
      <c r="C164" s="5"/>
      <c r="D164" s="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5"/>
      <c r="B165" s="5"/>
      <c r="C165" s="5"/>
      <c r="D165" s="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5"/>
      <c r="B166" s="5"/>
      <c r="C166" s="5"/>
      <c r="D166" s="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5"/>
      <c r="B167" s="5"/>
      <c r="C167" s="5"/>
      <c r="D167" s="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5"/>
      <c r="B168" s="5"/>
      <c r="C168" s="5"/>
      <c r="D168" s="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5"/>
      <c r="B169" s="5"/>
      <c r="C169" s="5"/>
      <c r="D169" s="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5"/>
      <c r="B170" s="5"/>
      <c r="C170" s="5"/>
      <c r="D170" s="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5"/>
      <c r="B171" s="5"/>
      <c r="C171" s="5"/>
      <c r="D171" s="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5"/>
      <c r="B172" s="5"/>
      <c r="C172" s="5"/>
      <c r="D172" s="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5"/>
      <c r="B173" s="5"/>
      <c r="C173" s="5"/>
      <c r="D173" s="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5"/>
      <c r="B174" s="5"/>
      <c r="C174" s="5"/>
      <c r="D174" s="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5"/>
      <c r="B175" s="5"/>
      <c r="C175" s="5"/>
      <c r="D175" s="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5"/>
      <c r="B176" s="5"/>
      <c r="C176" s="5"/>
      <c r="D176" s="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5"/>
      <c r="B177" s="5"/>
      <c r="C177" s="5"/>
      <c r="D177" s="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5"/>
      <c r="B178" s="5"/>
      <c r="C178" s="5"/>
      <c r="D178" s="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5"/>
      <c r="B179" s="5"/>
      <c r="C179" s="5"/>
      <c r="D179" s="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5"/>
      <c r="B180" s="5"/>
      <c r="C180" s="5"/>
      <c r="D180" s="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5"/>
      <c r="B181" s="5"/>
      <c r="C181" s="5"/>
      <c r="D181" s="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5"/>
      <c r="B182" s="5"/>
      <c r="C182" s="5"/>
      <c r="D182" s="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5"/>
      <c r="B183" s="5"/>
      <c r="C183" s="5"/>
      <c r="D183" s="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5"/>
      <c r="B184" s="5"/>
      <c r="C184" s="5"/>
      <c r="D184" s="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5"/>
      <c r="B185" s="5"/>
      <c r="C185" s="5"/>
      <c r="D185" s="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5"/>
      <c r="B186" s="5"/>
      <c r="C186" s="5"/>
      <c r="D186" s="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5"/>
      <c r="B187" s="5"/>
      <c r="C187" s="5"/>
      <c r="D187" s="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5"/>
      <c r="B188" s="5"/>
      <c r="C188" s="5"/>
      <c r="D188" s="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5"/>
      <c r="B189" s="5"/>
      <c r="C189" s="5"/>
      <c r="D189" s="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5"/>
      <c r="B190" s="5"/>
      <c r="C190" s="5"/>
      <c r="D190" s="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5"/>
      <c r="B191" s="5"/>
      <c r="C191" s="5"/>
      <c r="D191" s="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5"/>
      <c r="B192" s="5"/>
      <c r="C192" s="5"/>
      <c r="D192" s="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5"/>
      <c r="B193" s="5"/>
      <c r="C193" s="5"/>
      <c r="D193" s="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5"/>
      <c r="B194" s="5"/>
      <c r="C194" s="5"/>
      <c r="D194" s="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5"/>
      <c r="B195" s="5"/>
      <c r="C195" s="5"/>
      <c r="D195" s="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5"/>
      <c r="B196" s="5"/>
      <c r="C196" s="5"/>
      <c r="D196" s="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5"/>
      <c r="B197" s="5"/>
      <c r="C197" s="5"/>
      <c r="D197" s="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5"/>
      <c r="B198" s="5"/>
      <c r="C198" s="5"/>
      <c r="D198" s="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5"/>
      <c r="B199" s="5"/>
      <c r="C199" s="5"/>
      <c r="D199" s="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5"/>
      <c r="B200" s="5"/>
      <c r="C200" s="5"/>
      <c r="D200" s="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5"/>
      <c r="B201" s="5"/>
      <c r="C201" s="5"/>
      <c r="D201" s="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5"/>
      <c r="B202" s="5"/>
      <c r="C202" s="5"/>
      <c r="D202" s="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5"/>
      <c r="B203" s="5"/>
      <c r="C203" s="5"/>
      <c r="D203" s="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5"/>
      <c r="B204" s="5"/>
      <c r="C204" s="5"/>
      <c r="D204" s="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5"/>
      <c r="B205" s="5"/>
      <c r="C205" s="5"/>
      <c r="D205" s="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5"/>
      <c r="B206" s="5"/>
      <c r="C206" s="5"/>
      <c r="D206" s="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5"/>
      <c r="B207" s="5"/>
      <c r="C207" s="5"/>
      <c r="D207" s="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5"/>
      <c r="B208" s="5"/>
      <c r="C208" s="5"/>
      <c r="D208" s="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5"/>
      <c r="B209" s="5"/>
      <c r="C209" s="5"/>
      <c r="D209" s="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5"/>
      <c r="B210" s="5"/>
      <c r="C210" s="5"/>
      <c r="D210" s="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5"/>
      <c r="B211" s="5"/>
      <c r="C211" s="5"/>
      <c r="D211" s="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5"/>
      <c r="B212" s="5"/>
      <c r="C212" s="5"/>
      <c r="D212" s="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5"/>
      <c r="B213" s="5"/>
      <c r="C213" s="5"/>
      <c r="D213" s="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5"/>
      <c r="B214" s="5"/>
      <c r="C214" s="5"/>
      <c r="D214" s="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5"/>
      <c r="B215" s="5"/>
      <c r="C215" s="5"/>
      <c r="D215" s="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5"/>
      <c r="B216" s="5"/>
      <c r="C216" s="5"/>
      <c r="D216" s="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5"/>
      <c r="B217" s="5"/>
      <c r="C217" s="5"/>
      <c r="D217" s="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5"/>
      <c r="B218" s="5"/>
      <c r="C218" s="5"/>
      <c r="D218" s="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5"/>
      <c r="B219" s="5"/>
      <c r="C219" s="5"/>
      <c r="D219" s="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5"/>
      <c r="B220" s="5"/>
      <c r="C220" s="5"/>
      <c r="D220" s="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5"/>
      <c r="B221" s="5"/>
      <c r="C221" s="5"/>
      <c r="D221" s="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5"/>
      <c r="B222" s="5"/>
      <c r="C222" s="5"/>
      <c r="D222" s="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5"/>
      <c r="B223" s="5"/>
      <c r="C223" s="5"/>
      <c r="D223" s="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5"/>
      <c r="B224" s="5"/>
      <c r="C224" s="5"/>
      <c r="D224" s="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5"/>
      <c r="B225" s="5"/>
      <c r="C225" s="5"/>
      <c r="D225" s="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5"/>
      <c r="B226" s="5"/>
      <c r="C226" s="5"/>
      <c r="D226" s="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5"/>
      <c r="B227" s="5"/>
      <c r="C227" s="5"/>
      <c r="D227" s="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5"/>
      <c r="B228" s="5"/>
      <c r="C228" s="5"/>
      <c r="D228" s="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5"/>
      <c r="B229" s="5"/>
      <c r="C229" s="5"/>
      <c r="D229" s="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5"/>
      <c r="B230" s="5"/>
      <c r="C230" s="5"/>
      <c r="D230" s="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5"/>
      <c r="B231" s="5"/>
      <c r="C231" s="5"/>
      <c r="D231" s="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5"/>
      <c r="B232" s="5"/>
      <c r="C232" s="5"/>
      <c r="D232" s="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5"/>
      <c r="B233" s="5"/>
      <c r="C233" s="5"/>
      <c r="D233" s="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5"/>
      <c r="B234" s="5"/>
      <c r="C234" s="5"/>
      <c r="D234" s="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5"/>
      <c r="B235" s="5"/>
      <c r="C235" s="5"/>
      <c r="D235" s="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5"/>
      <c r="B236" s="5"/>
      <c r="C236" s="5"/>
      <c r="D236" s="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5"/>
      <c r="B237" s="5"/>
      <c r="C237" s="5"/>
      <c r="D237" s="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5"/>
      <c r="B238" s="5"/>
      <c r="C238" s="5"/>
      <c r="D238" s="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5"/>
      <c r="B239" s="5"/>
      <c r="C239" s="5"/>
      <c r="D239" s="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5"/>
      <c r="B240" s="5"/>
      <c r="C240" s="5"/>
      <c r="D240" s="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5"/>
      <c r="B241" s="5"/>
      <c r="C241" s="5"/>
      <c r="D241" s="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5"/>
      <c r="B242" s="5"/>
      <c r="C242" s="5"/>
      <c r="D242" s="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5"/>
      <c r="B243" s="5"/>
      <c r="C243" s="5"/>
      <c r="D243" s="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5"/>
      <c r="B244" s="5"/>
      <c r="C244" s="5"/>
      <c r="D244" s="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5"/>
      <c r="B245" s="5"/>
      <c r="C245" s="5"/>
      <c r="D245" s="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5"/>
      <c r="B246" s="5"/>
      <c r="C246" s="5"/>
      <c r="D246" s="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5"/>
      <c r="B247" s="5"/>
      <c r="C247" s="5"/>
      <c r="D247" s="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5"/>
      <c r="B248" s="5"/>
      <c r="C248" s="5"/>
      <c r="D248" s="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5"/>
      <c r="B249" s="5"/>
      <c r="C249" s="5"/>
      <c r="D249" s="5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4"/>
      <c r="B850" s="4"/>
      <c r="C850" s="4"/>
      <c r="D850" s="5"/>
      <c r="E850" s="97"/>
      <c r="F850" s="98"/>
      <c r="G850" s="98"/>
      <c r="H850" s="98"/>
      <c r="I850" s="98"/>
      <c r="J850" s="98"/>
      <c r="K850" s="98"/>
      <c r="L850" s="98"/>
      <c r="M850" s="99"/>
      <c r="N850" s="99"/>
      <c r="O850" s="3"/>
      <c r="P850" s="3"/>
      <c r="Q850" s="100"/>
      <c r="R850" s="2"/>
      <c r="S850" s="2"/>
      <c r="T850" s="2"/>
      <c r="U850" s="2"/>
      <c r="V850" s="2"/>
      <c r="W850" s="2"/>
      <c r="X850" s="2"/>
      <c r="Y850" s="3"/>
      <c r="Z850" s="3"/>
    </row>
    <row r="851" ht="13.5" customHeight="1">
      <c r="A851" s="4"/>
      <c r="B851" s="4"/>
      <c r="C851" s="4"/>
      <c r="D851" s="5"/>
      <c r="E851" s="97"/>
      <c r="F851" s="98"/>
      <c r="G851" s="98"/>
      <c r="H851" s="98"/>
      <c r="I851" s="98"/>
      <c r="J851" s="98"/>
      <c r="K851" s="98"/>
      <c r="L851" s="98"/>
      <c r="M851" s="99"/>
      <c r="N851" s="99"/>
      <c r="O851" s="3"/>
      <c r="P851" s="3"/>
      <c r="Q851" s="100"/>
      <c r="R851" s="2"/>
      <c r="S851" s="2"/>
      <c r="T851" s="2"/>
      <c r="U851" s="2"/>
      <c r="V851" s="2"/>
      <c r="W851" s="2"/>
      <c r="X851" s="2"/>
      <c r="Y851" s="3"/>
      <c r="Z851" s="3"/>
    </row>
    <row r="852" ht="13.5" customHeight="1">
      <c r="A852" s="4"/>
      <c r="B852" s="4"/>
      <c r="C852" s="4"/>
      <c r="D852" s="5"/>
      <c r="E852" s="97"/>
      <c r="F852" s="98"/>
      <c r="G852" s="98"/>
      <c r="H852" s="98"/>
      <c r="I852" s="98"/>
      <c r="J852" s="98"/>
      <c r="K852" s="98"/>
      <c r="L852" s="98"/>
      <c r="M852" s="99"/>
      <c r="N852" s="99"/>
      <c r="O852" s="3"/>
      <c r="P852" s="3"/>
      <c r="Q852" s="100"/>
      <c r="R852" s="2"/>
      <c r="S852" s="2"/>
      <c r="T852" s="2"/>
      <c r="U852" s="2"/>
      <c r="V852" s="2"/>
      <c r="W852" s="2"/>
      <c r="X852" s="2"/>
      <c r="Y852" s="3"/>
      <c r="Z852" s="3"/>
    </row>
    <row r="853" ht="13.5" customHeight="1">
      <c r="A853" s="4"/>
      <c r="B853" s="4"/>
      <c r="C853" s="4"/>
      <c r="D853" s="5"/>
      <c r="E853" s="97"/>
      <c r="F853" s="98"/>
      <c r="G853" s="98"/>
      <c r="H853" s="98"/>
      <c r="I853" s="98"/>
      <c r="J853" s="98"/>
      <c r="K853" s="98"/>
      <c r="L853" s="98"/>
      <c r="M853" s="99"/>
      <c r="N853" s="99"/>
      <c r="O853" s="3"/>
      <c r="P853" s="3"/>
      <c r="Q853" s="100"/>
      <c r="R853" s="2"/>
      <c r="S853" s="2"/>
      <c r="T853" s="2"/>
      <c r="U853" s="2"/>
      <c r="V853" s="2"/>
      <c r="W853" s="2"/>
      <c r="X853" s="2"/>
      <c r="Y853" s="3"/>
      <c r="Z853" s="3"/>
    </row>
    <row r="854" ht="13.5" customHeight="1">
      <c r="A854" s="4"/>
      <c r="B854" s="4"/>
      <c r="C854" s="4"/>
      <c r="D854" s="5"/>
      <c r="E854" s="97"/>
      <c r="F854" s="98"/>
      <c r="G854" s="98"/>
      <c r="H854" s="98"/>
      <c r="I854" s="98"/>
      <c r="J854" s="98"/>
      <c r="K854" s="98"/>
      <c r="L854" s="98"/>
      <c r="M854" s="99"/>
      <c r="N854" s="99"/>
      <c r="O854" s="3"/>
      <c r="P854" s="3"/>
      <c r="Q854" s="100"/>
      <c r="R854" s="2"/>
      <c r="S854" s="2"/>
      <c r="T854" s="2"/>
      <c r="U854" s="2"/>
      <c r="V854" s="2"/>
      <c r="W854" s="2"/>
      <c r="X854" s="2"/>
      <c r="Y854" s="3"/>
      <c r="Z854" s="3"/>
    </row>
    <row r="855" ht="13.5" customHeight="1">
      <c r="A855" s="4"/>
      <c r="B855" s="4"/>
      <c r="C855" s="4"/>
      <c r="D855" s="5"/>
      <c r="E855" s="97"/>
      <c r="F855" s="98"/>
      <c r="G855" s="98"/>
      <c r="H855" s="98"/>
      <c r="I855" s="98"/>
      <c r="J855" s="98"/>
      <c r="K855" s="98"/>
      <c r="L855" s="98"/>
      <c r="M855" s="99"/>
      <c r="N855" s="99"/>
      <c r="O855" s="3"/>
      <c r="P855" s="3"/>
      <c r="Q855" s="100"/>
      <c r="R855" s="2"/>
      <c r="S855" s="2"/>
      <c r="T855" s="2"/>
      <c r="U855" s="2"/>
      <c r="V855" s="2"/>
      <c r="W855" s="2"/>
      <c r="X855" s="2"/>
      <c r="Y855" s="3"/>
      <c r="Z855" s="3"/>
    </row>
    <row r="856" ht="13.5" customHeight="1">
      <c r="A856" s="4"/>
      <c r="B856" s="4"/>
      <c r="C856" s="4"/>
      <c r="D856" s="5"/>
      <c r="E856" s="97"/>
      <c r="F856" s="98"/>
      <c r="G856" s="98"/>
      <c r="H856" s="98"/>
      <c r="I856" s="98"/>
      <c r="J856" s="98"/>
      <c r="K856" s="98"/>
      <c r="L856" s="98"/>
      <c r="M856" s="99"/>
      <c r="N856" s="99"/>
      <c r="O856" s="3"/>
      <c r="P856" s="3"/>
      <c r="Q856" s="100"/>
      <c r="R856" s="2"/>
      <c r="S856" s="2"/>
      <c r="T856" s="2"/>
      <c r="U856" s="2"/>
      <c r="V856" s="2"/>
      <c r="W856" s="2"/>
      <c r="X856" s="2"/>
      <c r="Y856" s="3"/>
      <c r="Z856" s="3"/>
    </row>
    <row r="857" ht="13.5" customHeight="1">
      <c r="A857" s="4"/>
      <c r="B857" s="4"/>
      <c r="C857" s="4"/>
      <c r="D857" s="5"/>
      <c r="E857" s="97"/>
      <c r="F857" s="98"/>
      <c r="G857" s="98"/>
      <c r="H857" s="98"/>
      <c r="I857" s="98"/>
      <c r="J857" s="98"/>
      <c r="K857" s="98"/>
      <c r="L857" s="98"/>
      <c r="M857" s="99"/>
      <c r="N857" s="99"/>
      <c r="O857" s="3"/>
      <c r="P857" s="3"/>
      <c r="Q857" s="100"/>
      <c r="R857" s="2"/>
      <c r="S857" s="2"/>
      <c r="T857" s="2"/>
      <c r="U857" s="2"/>
      <c r="V857" s="2"/>
      <c r="W857" s="2"/>
      <c r="X857" s="2"/>
      <c r="Y857" s="3"/>
      <c r="Z857" s="3"/>
    </row>
    <row r="858" ht="13.5" customHeight="1">
      <c r="A858" s="4"/>
      <c r="B858" s="4"/>
      <c r="C858" s="4"/>
      <c r="D858" s="5"/>
      <c r="E858" s="97"/>
      <c r="F858" s="98"/>
      <c r="G858" s="98"/>
      <c r="H858" s="98"/>
      <c r="I858" s="98"/>
      <c r="J858" s="98"/>
      <c r="K858" s="98"/>
      <c r="L858" s="98"/>
      <c r="M858" s="99"/>
      <c r="N858" s="99"/>
      <c r="O858" s="3"/>
      <c r="P858" s="3"/>
      <c r="Q858" s="100"/>
      <c r="R858" s="2"/>
      <c r="S858" s="2"/>
      <c r="T858" s="2"/>
      <c r="U858" s="2"/>
      <c r="V858" s="2"/>
      <c r="W858" s="2"/>
      <c r="X858" s="2"/>
      <c r="Y858" s="3"/>
      <c r="Z858" s="3"/>
    </row>
    <row r="859" ht="13.5" customHeight="1">
      <c r="A859" s="4"/>
      <c r="B859" s="4"/>
      <c r="C859" s="4"/>
      <c r="D859" s="5"/>
      <c r="E859" s="97"/>
      <c r="F859" s="98"/>
      <c r="G859" s="98"/>
      <c r="H859" s="98"/>
      <c r="I859" s="98"/>
      <c r="J859" s="98"/>
      <c r="K859" s="98"/>
      <c r="L859" s="98"/>
      <c r="M859" s="99"/>
      <c r="N859" s="99"/>
      <c r="O859" s="3"/>
      <c r="P859" s="3"/>
      <c r="Q859" s="100"/>
      <c r="R859" s="2"/>
      <c r="S859" s="2"/>
      <c r="T859" s="2"/>
      <c r="U859" s="2"/>
      <c r="V859" s="2"/>
      <c r="W859" s="2"/>
      <c r="X859" s="2"/>
      <c r="Y859" s="3"/>
      <c r="Z859" s="3"/>
    </row>
    <row r="860" ht="13.5" customHeight="1">
      <c r="A860" s="4"/>
      <c r="B860" s="4"/>
      <c r="C860" s="4"/>
      <c r="D860" s="5"/>
      <c r="E860" s="97"/>
      <c r="F860" s="98"/>
      <c r="G860" s="98"/>
      <c r="H860" s="98"/>
      <c r="I860" s="98"/>
      <c r="J860" s="98"/>
      <c r="K860" s="98"/>
      <c r="L860" s="98"/>
      <c r="M860" s="99"/>
      <c r="N860" s="99"/>
      <c r="O860" s="3"/>
      <c r="P860" s="3"/>
      <c r="Q860" s="100"/>
      <c r="R860" s="2"/>
      <c r="S860" s="2"/>
      <c r="T860" s="2"/>
      <c r="U860" s="2"/>
      <c r="V860" s="2"/>
      <c r="W860" s="2"/>
      <c r="X860" s="2"/>
      <c r="Y860" s="3"/>
      <c r="Z860" s="3"/>
    </row>
    <row r="861" ht="13.5" customHeight="1">
      <c r="A861" s="4"/>
      <c r="B861" s="4"/>
      <c r="C861" s="4"/>
      <c r="D861" s="5"/>
      <c r="E861" s="97"/>
      <c r="F861" s="98"/>
      <c r="G861" s="98"/>
      <c r="H861" s="98"/>
      <c r="I861" s="98"/>
      <c r="J861" s="98"/>
      <c r="K861" s="98"/>
      <c r="L861" s="98"/>
      <c r="M861" s="99"/>
      <c r="N861" s="99"/>
      <c r="O861" s="3"/>
      <c r="P861" s="3"/>
      <c r="Q861" s="100"/>
      <c r="R861" s="2"/>
      <c r="S861" s="2"/>
      <c r="T861" s="2"/>
      <c r="U861" s="2"/>
      <c r="V861" s="2"/>
      <c r="W861" s="2"/>
      <c r="X861" s="2"/>
      <c r="Y861" s="3"/>
      <c r="Z861" s="3"/>
    </row>
    <row r="862" ht="13.5" customHeight="1">
      <c r="A862" s="4"/>
      <c r="B862" s="4"/>
      <c r="C862" s="4"/>
      <c r="D862" s="5"/>
      <c r="E862" s="97"/>
      <c r="F862" s="98"/>
      <c r="G862" s="98"/>
      <c r="H862" s="98"/>
      <c r="I862" s="98"/>
      <c r="J862" s="98"/>
      <c r="K862" s="98"/>
      <c r="L862" s="98"/>
      <c r="M862" s="99"/>
      <c r="N862" s="99"/>
      <c r="O862" s="3"/>
      <c r="P862" s="3"/>
      <c r="Q862" s="100"/>
      <c r="R862" s="2"/>
      <c r="S862" s="2"/>
      <c r="T862" s="2"/>
      <c r="U862" s="2"/>
      <c r="V862" s="2"/>
      <c r="W862" s="2"/>
      <c r="X862" s="2"/>
      <c r="Y862" s="3"/>
      <c r="Z862" s="3"/>
    </row>
    <row r="863" ht="13.5" customHeight="1">
      <c r="A863" s="4"/>
      <c r="B863" s="4"/>
      <c r="C863" s="4"/>
      <c r="D863" s="5"/>
      <c r="E863" s="97"/>
      <c r="F863" s="98"/>
      <c r="G863" s="98"/>
      <c r="H863" s="98"/>
      <c r="I863" s="98"/>
      <c r="J863" s="98"/>
      <c r="K863" s="98"/>
      <c r="L863" s="98"/>
      <c r="M863" s="99"/>
      <c r="N863" s="99"/>
      <c r="O863" s="3"/>
      <c r="P863" s="3"/>
      <c r="Q863" s="100"/>
      <c r="R863" s="2"/>
      <c r="S863" s="2"/>
      <c r="T863" s="2"/>
      <c r="U863" s="2"/>
      <c r="V863" s="2"/>
      <c r="W863" s="2"/>
      <c r="X863" s="2"/>
      <c r="Y863" s="3"/>
      <c r="Z863" s="3"/>
    </row>
    <row r="864" ht="13.5" customHeight="1">
      <c r="A864" s="4"/>
      <c r="B864" s="4"/>
      <c r="C864" s="4"/>
      <c r="D864" s="5"/>
      <c r="E864" s="97"/>
      <c r="F864" s="98"/>
      <c r="G864" s="98"/>
      <c r="H864" s="98"/>
      <c r="I864" s="98"/>
      <c r="J864" s="98"/>
      <c r="K864" s="98"/>
      <c r="L864" s="98"/>
      <c r="M864" s="99"/>
      <c r="N864" s="99"/>
      <c r="O864" s="3"/>
      <c r="P864" s="3"/>
      <c r="Q864" s="100"/>
      <c r="R864" s="2"/>
      <c r="S864" s="2"/>
      <c r="T864" s="2"/>
      <c r="U864" s="2"/>
      <c r="V864" s="2"/>
      <c r="W864" s="2"/>
      <c r="X864" s="2"/>
      <c r="Y864" s="3"/>
      <c r="Z864" s="3"/>
    </row>
    <row r="865" ht="13.5" customHeight="1">
      <c r="A865" s="4"/>
      <c r="B865" s="4"/>
      <c r="C865" s="4"/>
      <c r="D865" s="5"/>
      <c r="E865" s="97"/>
      <c r="F865" s="98"/>
      <c r="G865" s="98"/>
      <c r="H865" s="98"/>
      <c r="I865" s="98"/>
      <c r="J865" s="98"/>
      <c r="K865" s="98"/>
      <c r="L865" s="98"/>
      <c r="M865" s="99"/>
      <c r="N865" s="99"/>
      <c r="O865" s="3"/>
      <c r="P865" s="3"/>
      <c r="Q865" s="100"/>
      <c r="R865" s="2"/>
      <c r="S865" s="2"/>
      <c r="T865" s="2"/>
      <c r="U865" s="2"/>
      <c r="V865" s="2"/>
      <c r="W865" s="2"/>
      <c r="X865" s="2"/>
      <c r="Y865" s="3"/>
      <c r="Z865" s="3"/>
    </row>
    <row r="866" ht="13.5" customHeight="1">
      <c r="A866" s="4"/>
      <c r="B866" s="4"/>
      <c r="C866" s="4"/>
      <c r="D866" s="5"/>
      <c r="E866" s="97"/>
      <c r="F866" s="98"/>
      <c r="G866" s="98"/>
      <c r="H866" s="98"/>
      <c r="I866" s="98"/>
      <c r="J866" s="98"/>
      <c r="K866" s="98"/>
      <c r="L866" s="98"/>
      <c r="M866" s="99"/>
      <c r="N866" s="99"/>
      <c r="O866" s="3"/>
      <c r="P866" s="3"/>
      <c r="Q866" s="100"/>
      <c r="R866" s="2"/>
      <c r="S866" s="2"/>
      <c r="T866" s="2"/>
      <c r="U866" s="2"/>
      <c r="V866" s="2"/>
      <c r="W866" s="2"/>
      <c r="X866" s="2"/>
      <c r="Y866" s="3"/>
      <c r="Z866" s="3"/>
    </row>
    <row r="867" ht="13.5" customHeight="1">
      <c r="A867" s="4"/>
      <c r="B867" s="4"/>
      <c r="C867" s="4"/>
      <c r="D867" s="5"/>
      <c r="E867" s="97"/>
      <c r="F867" s="98"/>
      <c r="G867" s="98"/>
      <c r="H867" s="98"/>
      <c r="I867" s="98"/>
      <c r="J867" s="98"/>
      <c r="K867" s="98"/>
      <c r="L867" s="98"/>
      <c r="M867" s="99"/>
      <c r="N867" s="99"/>
      <c r="O867" s="3"/>
      <c r="P867" s="3"/>
      <c r="Q867" s="100"/>
      <c r="R867" s="2"/>
      <c r="S867" s="2"/>
      <c r="T867" s="2"/>
      <c r="U867" s="2"/>
      <c r="V867" s="2"/>
      <c r="W867" s="2"/>
      <c r="X867" s="2"/>
      <c r="Y867" s="3"/>
      <c r="Z867" s="3"/>
    </row>
    <row r="868" ht="13.5" customHeight="1">
      <c r="A868" s="4"/>
      <c r="B868" s="4"/>
      <c r="C868" s="4"/>
      <c r="D868" s="5"/>
      <c r="E868" s="97"/>
      <c r="F868" s="98"/>
      <c r="G868" s="98"/>
      <c r="H868" s="98"/>
      <c r="I868" s="98"/>
      <c r="J868" s="98"/>
      <c r="K868" s="98"/>
      <c r="L868" s="98"/>
      <c r="M868" s="99"/>
      <c r="N868" s="99"/>
      <c r="O868" s="3"/>
      <c r="P868" s="3"/>
      <c r="Q868" s="100"/>
      <c r="R868" s="2"/>
      <c r="S868" s="2"/>
      <c r="T868" s="2"/>
      <c r="U868" s="2"/>
      <c r="V868" s="2"/>
      <c r="W868" s="2"/>
      <c r="X868" s="2"/>
      <c r="Y868" s="3"/>
      <c r="Z868" s="3"/>
    </row>
    <row r="869" ht="13.5" customHeight="1">
      <c r="A869" s="4"/>
      <c r="B869" s="4"/>
      <c r="C869" s="4"/>
      <c r="D869" s="5"/>
      <c r="E869" s="97"/>
      <c r="F869" s="98"/>
      <c r="G869" s="98"/>
      <c r="H869" s="98"/>
      <c r="I869" s="98"/>
      <c r="J869" s="98"/>
      <c r="K869" s="98"/>
      <c r="L869" s="98"/>
      <c r="M869" s="99"/>
      <c r="N869" s="99"/>
      <c r="O869" s="3"/>
      <c r="P869" s="3"/>
      <c r="Q869" s="100"/>
      <c r="R869" s="2"/>
      <c r="S869" s="2"/>
      <c r="T869" s="2"/>
      <c r="U869" s="2"/>
      <c r="V869" s="2"/>
      <c r="W869" s="2"/>
      <c r="X869" s="2"/>
      <c r="Y869" s="3"/>
      <c r="Z869" s="3"/>
    </row>
    <row r="870" ht="13.5" customHeight="1">
      <c r="A870" s="4"/>
      <c r="B870" s="4"/>
      <c r="C870" s="4"/>
      <c r="D870" s="5"/>
      <c r="E870" s="97"/>
      <c r="F870" s="98"/>
      <c r="G870" s="98"/>
      <c r="H870" s="98"/>
      <c r="I870" s="98"/>
      <c r="J870" s="98"/>
      <c r="K870" s="98"/>
      <c r="L870" s="98"/>
      <c r="M870" s="99"/>
      <c r="N870" s="99"/>
      <c r="O870" s="3"/>
      <c r="P870" s="3"/>
      <c r="Q870" s="100"/>
      <c r="R870" s="2"/>
      <c r="S870" s="2"/>
      <c r="T870" s="2"/>
      <c r="U870" s="2"/>
      <c r="V870" s="2"/>
      <c r="W870" s="2"/>
      <c r="X870" s="2"/>
      <c r="Y870" s="3"/>
      <c r="Z870" s="3"/>
    </row>
    <row r="871" ht="13.5" customHeight="1">
      <c r="A871" s="4"/>
      <c r="B871" s="4"/>
      <c r="C871" s="4"/>
      <c r="D871" s="5"/>
      <c r="E871" s="97"/>
      <c r="F871" s="98"/>
      <c r="G871" s="98"/>
      <c r="H871" s="98"/>
      <c r="I871" s="98"/>
      <c r="J871" s="98"/>
      <c r="K871" s="98"/>
      <c r="L871" s="98"/>
      <c r="M871" s="99"/>
      <c r="N871" s="99"/>
      <c r="O871" s="3"/>
      <c r="P871" s="3"/>
      <c r="Q871" s="100"/>
      <c r="R871" s="2"/>
      <c r="S871" s="2"/>
      <c r="T871" s="2"/>
      <c r="U871" s="2"/>
      <c r="V871" s="2"/>
      <c r="W871" s="2"/>
      <c r="X871" s="2"/>
      <c r="Y871" s="3"/>
      <c r="Z871" s="3"/>
    </row>
    <row r="872" ht="13.5" customHeight="1">
      <c r="A872" s="4"/>
      <c r="B872" s="4"/>
      <c r="C872" s="4"/>
      <c r="D872" s="5"/>
      <c r="E872" s="97"/>
      <c r="F872" s="98"/>
      <c r="G872" s="98"/>
      <c r="H872" s="98"/>
      <c r="I872" s="98"/>
      <c r="J872" s="98"/>
      <c r="K872" s="98"/>
      <c r="L872" s="98"/>
      <c r="M872" s="99"/>
      <c r="N872" s="99"/>
      <c r="O872" s="3"/>
      <c r="P872" s="3"/>
      <c r="Q872" s="100"/>
      <c r="R872" s="2"/>
      <c r="S872" s="2"/>
      <c r="T872" s="2"/>
      <c r="U872" s="2"/>
      <c r="V872" s="2"/>
      <c r="W872" s="2"/>
      <c r="X872" s="2"/>
      <c r="Y872" s="3"/>
      <c r="Z872" s="3"/>
    </row>
    <row r="873" ht="13.5" customHeight="1">
      <c r="A873" s="4"/>
      <c r="B873" s="4"/>
      <c r="C873" s="4"/>
      <c r="D873" s="5"/>
      <c r="E873" s="97"/>
      <c r="F873" s="98"/>
      <c r="G873" s="98"/>
      <c r="H873" s="98"/>
      <c r="I873" s="98"/>
      <c r="J873" s="98"/>
      <c r="K873" s="98"/>
      <c r="L873" s="98"/>
      <c r="M873" s="99"/>
      <c r="N873" s="99"/>
      <c r="O873" s="3"/>
      <c r="P873" s="3"/>
      <c r="Q873" s="100"/>
      <c r="R873" s="2"/>
      <c r="S873" s="2"/>
      <c r="T873" s="2"/>
      <c r="U873" s="2"/>
      <c r="V873" s="2"/>
      <c r="W873" s="2"/>
      <c r="X873" s="2"/>
      <c r="Y873" s="3"/>
      <c r="Z873" s="3"/>
    </row>
    <row r="874" ht="13.5" customHeight="1">
      <c r="A874" s="4"/>
      <c r="B874" s="4"/>
      <c r="C874" s="4"/>
      <c r="D874" s="5"/>
      <c r="E874" s="97"/>
      <c r="F874" s="98"/>
      <c r="G874" s="98"/>
      <c r="H874" s="98"/>
      <c r="I874" s="98"/>
      <c r="J874" s="98"/>
      <c r="K874" s="98"/>
      <c r="L874" s="98"/>
      <c r="M874" s="99"/>
      <c r="N874" s="99"/>
      <c r="O874" s="3"/>
      <c r="P874" s="3"/>
      <c r="Q874" s="100"/>
      <c r="R874" s="2"/>
      <c r="S874" s="2"/>
      <c r="T874" s="2"/>
      <c r="U874" s="2"/>
      <c r="V874" s="2"/>
      <c r="W874" s="2"/>
      <c r="X874" s="2"/>
      <c r="Y874" s="3"/>
      <c r="Z874" s="3"/>
    </row>
    <row r="875" ht="13.5" customHeight="1">
      <c r="A875" s="4"/>
      <c r="B875" s="4"/>
      <c r="C875" s="4"/>
      <c r="D875" s="5"/>
      <c r="E875" s="97"/>
      <c r="F875" s="98"/>
      <c r="G875" s="98"/>
      <c r="H875" s="98"/>
      <c r="I875" s="98"/>
      <c r="J875" s="98"/>
      <c r="K875" s="98"/>
      <c r="L875" s="98"/>
      <c r="M875" s="99"/>
      <c r="N875" s="99"/>
      <c r="O875" s="3"/>
      <c r="P875" s="3"/>
      <c r="Q875" s="100"/>
      <c r="R875" s="2"/>
      <c r="S875" s="2"/>
      <c r="T875" s="2"/>
      <c r="U875" s="2"/>
      <c r="V875" s="2"/>
      <c r="W875" s="2"/>
      <c r="X875" s="2"/>
      <c r="Y875" s="3"/>
      <c r="Z875" s="3"/>
    </row>
    <row r="876" ht="13.5" customHeight="1">
      <c r="A876" s="4"/>
      <c r="B876" s="4"/>
      <c r="C876" s="4"/>
      <c r="D876" s="5"/>
      <c r="E876" s="97"/>
      <c r="F876" s="98"/>
      <c r="G876" s="98"/>
      <c r="H876" s="98"/>
      <c r="I876" s="98"/>
      <c r="J876" s="98"/>
      <c r="K876" s="98"/>
      <c r="L876" s="98"/>
      <c r="M876" s="99"/>
      <c r="N876" s="99"/>
      <c r="O876" s="3"/>
      <c r="P876" s="3"/>
      <c r="Q876" s="100"/>
      <c r="R876" s="2"/>
      <c r="S876" s="2"/>
      <c r="T876" s="2"/>
      <c r="U876" s="2"/>
      <c r="V876" s="2"/>
      <c r="W876" s="2"/>
      <c r="X876" s="2"/>
      <c r="Y876" s="3"/>
      <c r="Z876" s="3"/>
    </row>
    <row r="877" ht="13.5" customHeight="1">
      <c r="A877" s="4"/>
      <c r="B877" s="4"/>
      <c r="C877" s="4"/>
      <c r="D877" s="5"/>
      <c r="E877" s="97"/>
      <c r="F877" s="98"/>
      <c r="G877" s="98"/>
      <c r="H877" s="98"/>
      <c r="I877" s="98"/>
      <c r="J877" s="98"/>
      <c r="K877" s="98"/>
      <c r="L877" s="98"/>
      <c r="M877" s="99"/>
      <c r="N877" s="99"/>
      <c r="O877" s="3"/>
      <c r="P877" s="3"/>
      <c r="Q877" s="100"/>
      <c r="R877" s="2"/>
      <c r="S877" s="2"/>
      <c r="T877" s="2"/>
      <c r="U877" s="2"/>
      <c r="V877" s="2"/>
      <c r="W877" s="2"/>
      <c r="X877" s="2"/>
      <c r="Y877" s="3"/>
      <c r="Z877" s="3"/>
    </row>
    <row r="878" ht="13.5" customHeight="1">
      <c r="A878" s="4"/>
      <c r="B878" s="4"/>
      <c r="C878" s="4"/>
      <c r="D878" s="5"/>
      <c r="E878" s="97"/>
      <c r="F878" s="98"/>
      <c r="G878" s="98"/>
      <c r="H878" s="98"/>
      <c r="I878" s="98"/>
      <c r="J878" s="98"/>
      <c r="K878" s="98"/>
      <c r="L878" s="98"/>
      <c r="M878" s="99"/>
      <c r="N878" s="99"/>
      <c r="O878" s="3"/>
      <c r="P878" s="3"/>
      <c r="Q878" s="100"/>
      <c r="R878" s="2"/>
      <c r="S878" s="2"/>
      <c r="T878" s="2"/>
      <c r="U878" s="2"/>
      <c r="V878" s="2"/>
      <c r="W878" s="2"/>
      <c r="X878" s="2"/>
      <c r="Y878" s="3"/>
      <c r="Z878" s="3"/>
    </row>
    <row r="879" ht="13.5" customHeight="1">
      <c r="A879" s="4"/>
      <c r="B879" s="4"/>
      <c r="C879" s="4"/>
      <c r="D879" s="5"/>
      <c r="E879" s="97"/>
      <c r="F879" s="98"/>
      <c r="G879" s="98"/>
      <c r="H879" s="98"/>
      <c r="I879" s="98"/>
      <c r="J879" s="98"/>
      <c r="K879" s="98"/>
      <c r="L879" s="98"/>
      <c r="M879" s="99"/>
      <c r="N879" s="99"/>
      <c r="O879" s="3"/>
      <c r="P879" s="3"/>
      <c r="Q879" s="100"/>
      <c r="R879" s="2"/>
      <c r="S879" s="2"/>
      <c r="T879" s="2"/>
      <c r="U879" s="2"/>
      <c r="V879" s="2"/>
      <c r="W879" s="2"/>
      <c r="X879" s="2"/>
      <c r="Y879" s="3"/>
      <c r="Z879" s="3"/>
    </row>
    <row r="880" ht="13.5" customHeight="1">
      <c r="A880" s="4"/>
      <c r="B880" s="4"/>
      <c r="C880" s="4"/>
      <c r="D880" s="5"/>
      <c r="E880" s="97"/>
      <c r="F880" s="98"/>
      <c r="G880" s="98"/>
      <c r="H880" s="98"/>
      <c r="I880" s="98"/>
      <c r="J880" s="98"/>
      <c r="K880" s="98"/>
      <c r="L880" s="98"/>
      <c r="M880" s="99"/>
      <c r="N880" s="99"/>
      <c r="O880" s="3"/>
      <c r="P880" s="3"/>
      <c r="Q880" s="100"/>
      <c r="R880" s="2"/>
      <c r="S880" s="2"/>
      <c r="T880" s="2"/>
      <c r="U880" s="2"/>
      <c r="V880" s="2"/>
      <c r="W880" s="2"/>
      <c r="X880" s="2"/>
      <c r="Y880" s="3"/>
      <c r="Z880" s="3"/>
    </row>
    <row r="881" ht="13.5" customHeight="1">
      <c r="A881" s="4"/>
      <c r="B881" s="4"/>
      <c r="C881" s="4"/>
      <c r="D881" s="5"/>
      <c r="E881" s="97"/>
      <c r="F881" s="98"/>
      <c r="G881" s="98"/>
      <c r="H881" s="98"/>
      <c r="I881" s="98"/>
      <c r="J881" s="98"/>
      <c r="K881" s="98"/>
      <c r="L881" s="98"/>
      <c r="M881" s="99"/>
      <c r="N881" s="99"/>
      <c r="O881" s="3"/>
      <c r="P881" s="3"/>
      <c r="Q881" s="100"/>
      <c r="R881" s="2"/>
      <c r="S881" s="2"/>
      <c r="T881" s="2"/>
      <c r="U881" s="2"/>
      <c r="V881" s="2"/>
      <c r="W881" s="2"/>
      <c r="X881" s="2"/>
      <c r="Y881" s="3"/>
      <c r="Z881" s="3"/>
    </row>
    <row r="882" ht="13.5" customHeight="1">
      <c r="A882" s="4"/>
      <c r="B882" s="4"/>
      <c r="C882" s="4"/>
      <c r="D882" s="5"/>
      <c r="E882" s="97"/>
      <c r="F882" s="98"/>
      <c r="G882" s="98"/>
      <c r="H882" s="98"/>
      <c r="I882" s="98"/>
      <c r="J882" s="98"/>
      <c r="K882" s="98"/>
      <c r="L882" s="98"/>
      <c r="M882" s="99"/>
      <c r="N882" s="99"/>
      <c r="O882" s="3"/>
      <c r="P882" s="3"/>
      <c r="Q882" s="100"/>
      <c r="R882" s="2"/>
      <c r="S882" s="2"/>
      <c r="T882" s="2"/>
      <c r="U882" s="2"/>
      <c r="V882" s="2"/>
      <c r="W882" s="2"/>
      <c r="X882" s="2"/>
      <c r="Y882" s="3"/>
      <c r="Z882" s="3"/>
    </row>
    <row r="883" ht="13.5" customHeight="1">
      <c r="A883" s="4"/>
      <c r="B883" s="4"/>
      <c r="C883" s="4"/>
      <c r="D883" s="5"/>
      <c r="E883" s="97"/>
      <c r="F883" s="98"/>
      <c r="G883" s="98"/>
      <c r="H883" s="98"/>
      <c r="I883" s="98"/>
      <c r="J883" s="98"/>
      <c r="K883" s="98"/>
      <c r="L883" s="98"/>
      <c r="M883" s="99"/>
      <c r="N883" s="99"/>
      <c r="O883" s="3"/>
      <c r="P883" s="3"/>
      <c r="Q883" s="100"/>
      <c r="R883" s="2"/>
      <c r="S883" s="2"/>
      <c r="T883" s="2"/>
      <c r="U883" s="2"/>
      <c r="V883" s="2"/>
      <c r="W883" s="2"/>
      <c r="X883" s="2"/>
      <c r="Y883" s="3"/>
      <c r="Z883" s="3"/>
    </row>
    <row r="884" ht="13.5" customHeight="1">
      <c r="A884" s="4"/>
      <c r="B884" s="4"/>
      <c r="C884" s="4"/>
      <c r="D884" s="5"/>
      <c r="E884" s="97"/>
      <c r="F884" s="98"/>
      <c r="G884" s="98"/>
      <c r="H884" s="98"/>
      <c r="I884" s="98"/>
      <c r="J884" s="98"/>
      <c r="K884" s="98"/>
      <c r="L884" s="98"/>
      <c r="M884" s="99"/>
      <c r="N884" s="99"/>
      <c r="O884" s="3"/>
      <c r="P884" s="3"/>
      <c r="Q884" s="100"/>
      <c r="R884" s="2"/>
      <c r="S884" s="2"/>
      <c r="T884" s="2"/>
      <c r="U884" s="2"/>
      <c r="V884" s="2"/>
      <c r="W884" s="2"/>
      <c r="X884" s="2"/>
      <c r="Y884" s="3"/>
      <c r="Z884" s="3"/>
    </row>
    <row r="885" ht="13.5" customHeight="1">
      <c r="A885" s="4"/>
      <c r="B885" s="4"/>
      <c r="C885" s="4"/>
      <c r="D885" s="5"/>
      <c r="E885" s="97"/>
      <c r="F885" s="98"/>
      <c r="G885" s="98"/>
      <c r="H885" s="98"/>
      <c r="I885" s="98"/>
      <c r="J885" s="98"/>
      <c r="K885" s="98"/>
      <c r="L885" s="98"/>
      <c r="M885" s="99"/>
      <c r="N885" s="99"/>
      <c r="O885" s="3"/>
      <c r="P885" s="3"/>
      <c r="Q885" s="100"/>
      <c r="R885" s="2"/>
      <c r="S885" s="2"/>
      <c r="T885" s="2"/>
      <c r="U885" s="2"/>
      <c r="V885" s="2"/>
      <c r="W885" s="2"/>
      <c r="X885" s="2"/>
      <c r="Y885" s="3"/>
      <c r="Z885" s="3"/>
    </row>
    <row r="886" ht="13.5" customHeight="1">
      <c r="A886" s="4"/>
      <c r="B886" s="4"/>
      <c r="C886" s="4"/>
      <c r="D886" s="5"/>
      <c r="E886" s="97"/>
      <c r="F886" s="98"/>
      <c r="G886" s="98"/>
      <c r="H886" s="98"/>
      <c r="I886" s="98"/>
      <c r="J886" s="98"/>
      <c r="K886" s="98"/>
      <c r="L886" s="98"/>
      <c r="M886" s="99"/>
      <c r="N886" s="99"/>
      <c r="O886" s="3"/>
      <c r="P886" s="3"/>
      <c r="Q886" s="100"/>
      <c r="R886" s="2"/>
      <c r="S886" s="2"/>
      <c r="T886" s="2"/>
      <c r="U886" s="2"/>
      <c r="V886" s="2"/>
      <c r="W886" s="2"/>
      <c r="X886" s="2"/>
      <c r="Y886" s="3"/>
      <c r="Z886" s="3"/>
    </row>
    <row r="887" ht="13.5" customHeight="1">
      <c r="A887" s="4"/>
      <c r="B887" s="4"/>
      <c r="C887" s="4"/>
      <c r="D887" s="5"/>
      <c r="E887" s="97"/>
      <c r="F887" s="98"/>
      <c r="G887" s="98"/>
      <c r="H887" s="98"/>
      <c r="I887" s="98"/>
      <c r="J887" s="98"/>
      <c r="K887" s="98"/>
      <c r="L887" s="98"/>
      <c r="M887" s="99"/>
      <c r="N887" s="99"/>
      <c r="O887" s="3"/>
      <c r="P887" s="3"/>
      <c r="Q887" s="100"/>
      <c r="R887" s="2"/>
      <c r="S887" s="2"/>
      <c r="T887" s="2"/>
      <c r="U887" s="2"/>
      <c r="V887" s="2"/>
      <c r="W887" s="2"/>
      <c r="X887" s="2"/>
      <c r="Y887" s="3"/>
      <c r="Z887" s="3"/>
    </row>
    <row r="888" ht="13.5" customHeight="1">
      <c r="A888" s="4"/>
      <c r="B888" s="4"/>
      <c r="C888" s="4"/>
      <c r="D888" s="5"/>
      <c r="E888" s="97"/>
      <c r="F888" s="98"/>
      <c r="G888" s="98"/>
      <c r="H888" s="98"/>
      <c r="I888" s="98"/>
      <c r="J888" s="98"/>
      <c r="K888" s="98"/>
      <c r="L888" s="98"/>
      <c r="M888" s="99"/>
      <c r="N888" s="99"/>
      <c r="O888" s="3"/>
      <c r="P888" s="3"/>
      <c r="Q888" s="100"/>
      <c r="R888" s="2"/>
      <c r="S888" s="2"/>
      <c r="T888" s="2"/>
      <c r="U888" s="2"/>
      <c r="V888" s="2"/>
      <c r="W888" s="2"/>
      <c r="X888" s="2"/>
      <c r="Y888" s="3"/>
      <c r="Z888" s="3"/>
    </row>
    <row r="889" ht="13.5" customHeight="1">
      <c r="A889" s="4"/>
      <c r="B889" s="4"/>
      <c r="C889" s="4"/>
      <c r="D889" s="5"/>
      <c r="E889" s="97"/>
      <c r="F889" s="98"/>
      <c r="G889" s="98"/>
      <c r="H889" s="98"/>
      <c r="I889" s="98"/>
      <c r="J889" s="98"/>
      <c r="K889" s="98"/>
      <c r="L889" s="98"/>
      <c r="M889" s="99"/>
      <c r="N889" s="99"/>
      <c r="O889" s="3"/>
      <c r="P889" s="3"/>
      <c r="Q889" s="100"/>
      <c r="R889" s="2"/>
      <c r="S889" s="2"/>
      <c r="T889" s="2"/>
      <c r="U889" s="2"/>
      <c r="V889" s="2"/>
      <c r="W889" s="2"/>
      <c r="X889" s="2"/>
      <c r="Y889" s="3"/>
      <c r="Z889" s="3"/>
    </row>
    <row r="890" ht="13.5" customHeight="1">
      <c r="A890" s="4"/>
      <c r="B890" s="4"/>
      <c r="C890" s="4"/>
      <c r="D890" s="5"/>
      <c r="E890" s="97"/>
      <c r="F890" s="98"/>
      <c r="G890" s="98"/>
      <c r="H890" s="98"/>
      <c r="I890" s="98"/>
      <c r="J890" s="98"/>
      <c r="K890" s="98"/>
      <c r="L890" s="98"/>
      <c r="M890" s="99"/>
      <c r="N890" s="99"/>
      <c r="O890" s="3"/>
      <c r="P890" s="3"/>
      <c r="Q890" s="100"/>
      <c r="R890" s="2"/>
      <c r="S890" s="2"/>
      <c r="T890" s="2"/>
      <c r="U890" s="2"/>
      <c r="V890" s="2"/>
      <c r="W890" s="2"/>
      <c r="X890" s="2"/>
      <c r="Y890" s="3"/>
      <c r="Z890" s="3"/>
    </row>
    <row r="891" ht="13.5" customHeight="1">
      <c r="A891" s="4"/>
      <c r="B891" s="4"/>
      <c r="C891" s="4"/>
      <c r="D891" s="5"/>
      <c r="E891" s="97"/>
      <c r="F891" s="98"/>
      <c r="G891" s="98"/>
      <c r="H891" s="98"/>
      <c r="I891" s="98"/>
      <c r="J891" s="98"/>
      <c r="K891" s="98"/>
      <c r="L891" s="98"/>
      <c r="M891" s="99"/>
      <c r="N891" s="99"/>
      <c r="O891" s="3"/>
      <c r="P891" s="3"/>
      <c r="Q891" s="100"/>
      <c r="R891" s="2"/>
      <c r="S891" s="2"/>
      <c r="T891" s="2"/>
      <c r="U891" s="2"/>
      <c r="V891" s="2"/>
      <c r="W891" s="2"/>
      <c r="X891" s="2"/>
      <c r="Y891" s="3"/>
      <c r="Z891" s="3"/>
    </row>
    <row r="892" ht="13.5" customHeight="1">
      <c r="A892" s="4"/>
      <c r="B892" s="4"/>
      <c r="C892" s="4"/>
      <c r="D892" s="5"/>
      <c r="E892" s="97"/>
      <c r="F892" s="98"/>
      <c r="G892" s="98"/>
      <c r="H892" s="98"/>
      <c r="I892" s="98"/>
      <c r="J892" s="98"/>
      <c r="K892" s="98"/>
      <c r="L892" s="98"/>
      <c r="M892" s="99"/>
      <c r="N892" s="99"/>
      <c r="O892" s="3"/>
      <c r="P892" s="3"/>
      <c r="Q892" s="100"/>
      <c r="R892" s="2"/>
      <c r="S892" s="2"/>
      <c r="T892" s="2"/>
      <c r="U892" s="2"/>
      <c r="V892" s="2"/>
      <c r="W892" s="2"/>
      <c r="X892" s="2"/>
      <c r="Y892" s="3"/>
      <c r="Z892" s="3"/>
    </row>
    <row r="893" ht="13.5" customHeight="1">
      <c r="A893" s="4"/>
      <c r="B893" s="4"/>
      <c r="C893" s="4"/>
      <c r="D893" s="5"/>
      <c r="E893" s="97"/>
      <c r="F893" s="98"/>
      <c r="G893" s="98"/>
      <c r="H893" s="98"/>
      <c r="I893" s="98"/>
      <c r="J893" s="98"/>
      <c r="K893" s="98"/>
      <c r="L893" s="98"/>
      <c r="M893" s="99"/>
      <c r="N893" s="99"/>
      <c r="O893" s="3"/>
      <c r="P893" s="3"/>
      <c r="Q893" s="100"/>
      <c r="R893" s="2"/>
      <c r="S893" s="2"/>
      <c r="T893" s="2"/>
      <c r="U893" s="2"/>
      <c r="V893" s="2"/>
      <c r="W893" s="2"/>
      <c r="X893" s="2"/>
      <c r="Y893" s="3"/>
      <c r="Z893" s="3"/>
    </row>
    <row r="894" ht="13.5" customHeight="1">
      <c r="A894" s="4"/>
      <c r="B894" s="4"/>
      <c r="C894" s="4"/>
      <c r="D894" s="5"/>
      <c r="E894" s="97"/>
      <c r="F894" s="98"/>
      <c r="G894" s="98"/>
      <c r="H894" s="98"/>
      <c r="I894" s="98"/>
      <c r="J894" s="98"/>
      <c r="K894" s="98"/>
      <c r="L894" s="98"/>
      <c r="M894" s="99"/>
      <c r="N894" s="99"/>
      <c r="O894" s="3"/>
      <c r="P894" s="3"/>
      <c r="Q894" s="100"/>
      <c r="R894" s="2"/>
      <c r="S894" s="2"/>
      <c r="T894" s="2"/>
      <c r="U894" s="2"/>
      <c r="V894" s="2"/>
      <c r="W894" s="2"/>
      <c r="X894" s="2"/>
      <c r="Y894" s="3"/>
      <c r="Z894" s="3"/>
    </row>
    <row r="895" ht="13.5" customHeight="1">
      <c r="A895" s="4"/>
      <c r="B895" s="4"/>
      <c r="C895" s="4"/>
      <c r="D895" s="5"/>
      <c r="E895" s="97"/>
      <c r="F895" s="98"/>
      <c r="G895" s="98"/>
      <c r="H895" s="98"/>
      <c r="I895" s="98"/>
      <c r="J895" s="98"/>
      <c r="K895" s="98"/>
      <c r="L895" s="98"/>
      <c r="M895" s="99"/>
      <c r="N895" s="99"/>
      <c r="O895" s="3"/>
      <c r="P895" s="3"/>
      <c r="Q895" s="100"/>
      <c r="R895" s="2"/>
      <c r="S895" s="2"/>
      <c r="T895" s="2"/>
      <c r="U895" s="2"/>
      <c r="V895" s="2"/>
      <c r="W895" s="2"/>
      <c r="X895" s="2"/>
      <c r="Y895" s="3"/>
      <c r="Z895" s="3"/>
    </row>
    <row r="896" ht="13.5" customHeight="1">
      <c r="A896" s="4"/>
      <c r="B896" s="4"/>
      <c r="C896" s="4"/>
      <c r="D896" s="5"/>
      <c r="E896" s="97"/>
      <c r="F896" s="98"/>
      <c r="G896" s="98"/>
      <c r="H896" s="98"/>
      <c r="I896" s="98"/>
      <c r="J896" s="98"/>
      <c r="K896" s="98"/>
      <c r="L896" s="98"/>
      <c r="M896" s="99"/>
      <c r="N896" s="99"/>
      <c r="O896" s="3"/>
      <c r="P896" s="3"/>
      <c r="Q896" s="100"/>
      <c r="R896" s="2"/>
      <c r="S896" s="2"/>
      <c r="T896" s="2"/>
      <c r="U896" s="2"/>
      <c r="V896" s="2"/>
      <c r="W896" s="2"/>
      <c r="X896" s="2"/>
      <c r="Y896" s="3"/>
      <c r="Z896" s="3"/>
    </row>
    <row r="897" ht="13.5" customHeight="1">
      <c r="A897" s="4"/>
      <c r="B897" s="4"/>
      <c r="C897" s="4"/>
      <c r="D897" s="5"/>
      <c r="E897" s="97"/>
      <c r="F897" s="98"/>
      <c r="G897" s="98"/>
      <c r="H897" s="98"/>
      <c r="I897" s="98"/>
      <c r="J897" s="98"/>
      <c r="K897" s="98"/>
      <c r="L897" s="98"/>
      <c r="M897" s="99"/>
      <c r="N897" s="99"/>
      <c r="O897" s="3"/>
      <c r="P897" s="3"/>
      <c r="Q897" s="100"/>
      <c r="R897" s="2"/>
      <c r="S897" s="2"/>
      <c r="T897" s="2"/>
      <c r="U897" s="2"/>
      <c r="V897" s="2"/>
      <c r="W897" s="2"/>
      <c r="X897" s="2"/>
      <c r="Y897" s="3"/>
      <c r="Z897" s="3"/>
    </row>
    <row r="898" ht="13.5" customHeight="1">
      <c r="A898" s="4"/>
      <c r="B898" s="4"/>
      <c r="C898" s="4"/>
      <c r="D898" s="5"/>
      <c r="E898" s="97"/>
      <c r="F898" s="98"/>
      <c r="G898" s="98"/>
      <c r="H898" s="98"/>
      <c r="I898" s="98"/>
      <c r="J898" s="98"/>
      <c r="K898" s="98"/>
      <c r="L898" s="98"/>
      <c r="M898" s="99"/>
      <c r="N898" s="99"/>
      <c r="O898" s="3"/>
      <c r="P898" s="3"/>
      <c r="Q898" s="100"/>
      <c r="R898" s="2"/>
      <c r="S898" s="2"/>
      <c r="T898" s="2"/>
      <c r="U898" s="2"/>
      <c r="V898" s="2"/>
      <c r="W898" s="2"/>
      <c r="X898" s="2"/>
      <c r="Y898" s="3"/>
      <c r="Z898" s="3"/>
    </row>
    <row r="899" ht="13.5" customHeight="1">
      <c r="A899" s="4"/>
      <c r="B899" s="4"/>
      <c r="C899" s="4"/>
      <c r="D899" s="5"/>
      <c r="E899" s="97"/>
      <c r="F899" s="98"/>
      <c r="G899" s="98"/>
      <c r="H899" s="98"/>
      <c r="I899" s="98"/>
      <c r="J899" s="98"/>
      <c r="K899" s="98"/>
      <c r="L899" s="98"/>
      <c r="M899" s="99"/>
      <c r="N899" s="99"/>
      <c r="O899" s="3"/>
      <c r="P899" s="3"/>
      <c r="Q899" s="100"/>
      <c r="R899" s="2"/>
      <c r="S899" s="2"/>
      <c r="T899" s="2"/>
      <c r="U899" s="2"/>
      <c r="V899" s="2"/>
      <c r="W899" s="2"/>
      <c r="X899" s="2"/>
      <c r="Y899" s="3"/>
      <c r="Z899" s="3"/>
    </row>
    <row r="900" ht="13.5" customHeight="1">
      <c r="A900" s="4"/>
      <c r="B900" s="4"/>
      <c r="C900" s="4"/>
      <c r="D900" s="5"/>
      <c r="E900" s="97"/>
      <c r="F900" s="98"/>
      <c r="G900" s="98"/>
      <c r="H900" s="98"/>
      <c r="I900" s="98"/>
      <c r="J900" s="98"/>
      <c r="K900" s="98"/>
      <c r="L900" s="98"/>
      <c r="M900" s="99"/>
      <c r="N900" s="99"/>
      <c r="O900" s="3"/>
      <c r="P900" s="3"/>
      <c r="Q900" s="100"/>
      <c r="R900" s="2"/>
      <c r="S900" s="2"/>
      <c r="T900" s="2"/>
      <c r="U900" s="2"/>
      <c r="V900" s="2"/>
      <c r="W900" s="2"/>
      <c r="X900" s="2"/>
      <c r="Y900" s="3"/>
      <c r="Z900" s="3"/>
    </row>
    <row r="901" ht="13.5" customHeight="1">
      <c r="A901" s="4"/>
      <c r="B901" s="4"/>
      <c r="C901" s="4"/>
      <c r="D901" s="5"/>
      <c r="E901" s="97"/>
      <c r="F901" s="98"/>
      <c r="G901" s="98"/>
      <c r="H901" s="98"/>
      <c r="I901" s="98"/>
      <c r="J901" s="98"/>
      <c r="K901" s="98"/>
      <c r="L901" s="98"/>
      <c r="M901" s="99"/>
      <c r="N901" s="99"/>
      <c r="O901" s="3"/>
      <c r="P901" s="3"/>
      <c r="Q901" s="100"/>
      <c r="R901" s="2"/>
      <c r="S901" s="2"/>
      <c r="T901" s="2"/>
      <c r="U901" s="2"/>
      <c r="V901" s="2"/>
      <c r="W901" s="2"/>
      <c r="X901" s="2"/>
      <c r="Y901" s="3"/>
      <c r="Z901" s="3"/>
    </row>
    <row r="902" ht="13.5" customHeight="1">
      <c r="A902" s="4"/>
      <c r="B902" s="4"/>
      <c r="C902" s="4"/>
      <c r="D902" s="5"/>
      <c r="E902" s="97"/>
      <c r="F902" s="98"/>
      <c r="G902" s="98"/>
      <c r="H902" s="98"/>
      <c r="I902" s="98"/>
      <c r="J902" s="98"/>
      <c r="K902" s="98"/>
      <c r="L902" s="98"/>
      <c r="M902" s="99"/>
      <c r="N902" s="99"/>
      <c r="O902" s="3"/>
      <c r="P902" s="3"/>
      <c r="Q902" s="100"/>
      <c r="R902" s="2"/>
      <c r="S902" s="2"/>
      <c r="T902" s="2"/>
      <c r="U902" s="2"/>
      <c r="V902" s="2"/>
      <c r="W902" s="2"/>
      <c r="X902" s="2"/>
      <c r="Y902" s="3"/>
      <c r="Z902" s="3"/>
    </row>
    <row r="903" ht="13.5" customHeight="1">
      <c r="A903" s="4"/>
      <c r="B903" s="4"/>
      <c r="C903" s="4"/>
      <c r="D903" s="5"/>
      <c r="E903" s="97"/>
      <c r="F903" s="98"/>
      <c r="G903" s="98"/>
      <c r="H903" s="98"/>
      <c r="I903" s="98"/>
      <c r="J903" s="98"/>
      <c r="K903" s="98"/>
      <c r="L903" s="98"/>
      <c r="M903" s="99"/>
      <c r="N903" s="99"/>
      <c r="O903" s="3"/>
      <c r="P903" s="3"/>
      <c r="Q903" s="100"/>
      <c r="R903" s="2"/>
      <c r="S903" s="2"/>
      <c r="T903" s="2"/>
      <c r="U903" s="2"/>
      <c r="V903" s="2"/>
      <c r="W903" s="2"/>
      <c r="X903" s="2"/>
      <c r="Y903" s="3"/>
      <c r="Z903" s="3"/>
    </row>
    <row r="904" ht="13.5" customHeight="1">
      <c r="A904" s="4"/>
      <c r="B904" s="4"/>
      <c r="C904" s="4"/>
      <c r="D904" s="5"/>
      <c r="E904" s="97"/>
      <c r="F904" s="98"/>
      <c r="G904" s="98"/>
      <c r="H904" s="98"/>
      <c r="I904" s="98"/>
      <c r="J904" s="98"/>
      <c r="K904" s="98"/>
      <c r="L904" s="98"/>
      <c r="M904" s="99"/>
      <c r="N904" s="99"/>
      <c r="O904" s="3"/>
      <c r="P904" s="3"/>
      <c r="Q904" s="100"/>
      <c r="R904" s="2"/>
      <c r="S904" s="2"/>
      <c r="T904" s="2"/>
      <c r="U904" s="2"/>
      <c r="V904" s="2"/>
      <c r="W904" s="2"/>
      <c r="X904" s="2"/>
      <c r="Y904" s="3"/>
      <c r="Z904" s="3"/>
    </row>
    <row r="905" ht="13.5" customHeight="1">
      <c r="A905" s="4"/>
      <c r="B905" s="4"/>
      <c r="C905" s="4"/>
      <c r="D905" s="5"/>
      <c r="E905" s="97"/>
      <c r="F905" s="98"/>
      <c r="G905" s="98"/>
      <c r="H905" s="98"/>
      <c r="I905" s="98"/>
      <c r="J905" s="98"/>
      <c r="K905" s="98"/>
      <c r="L905" s="98"/>
      <c r="M905" s="99"/>
      <c r="N905" s="99"/>
      <c r="O905" s="3"/>
      <c r="P905" s="3"/>
      <c r="Q905" s="100"/>
      <c r="R905" s="2"/>
      <c r="S905" s="2"/>
      <c r="T905" s="2"/>
      <c r="U905" s="2"/>
      <c r="V905" s="2"/>
      <c r="W905" s="2"/>
      <c r="X905" s="2"/>
      <c r="Y905" s="3"/>
      <c r="Z905" s="3"/>
    </row>
    <row r="906" ht="13.5" customHeight="1">
      <c r="A906" s="4"/>
      <c r="B906" s="4"/>
      <c r="C906" s="4"/>
      <c r="D906" s="5"/>
      <c r="E906" s="97"/>
      <c r="F906" s="98"/>
      <c r="G906" s="98"/>
      <c r="H906" s="98"/>
      <c r="I906" s="98"/>
      <c r="J906" s="98"/>
      <c r="K906" s="98"/>
      <c r="L906" s="98"/>
      <c r="M906" s="99"/>
      <c r="N906" s="99"/>
      <c r="O906" s="3"/>
      <c r="P906" s="3"/>
      <c r="Q906" s="100"/>
      <c r="R906" s="2"/>
      <c r="S906" s="2"/>
      <c r="T906" s="2"/>
      <c r="U906" s="2"/>
      <c r="V906" s="2"/>
      <c r="W906" s="2"/>
      <c r="X906" s="2"/>
      <c r="Y906" s="3"/>
      <c r="Z906" s="3"/>
    </row>
    <row r="907" ht="13.5" customHeight="1">
      <c r="A907" s="4"/>
      <c r="B907" s="4"/>
      <c r="C907" s="4"/>
      <c r="D907" s="5"/>
      <c r="E907" s="97"/>
      <c r="F907" s="98"/>
      <c r="G907" s="98"/>
      <c r="H907" s="98"/>
      <c r="I907" s="98"/>
      <c r="J907" s="98"/>
      <c r="K907" s="98"/>
      <c r="L907" s="98"/>
      <c r="M907" s="99"/>
      <c r="N907" s="99"/>
      <c r="O907" s="3"/>
      <c r="P907" s="3"/>
      <c r="Q907" s="100"/>
      <c r="R907" s="2"/>
      <c r="S907" s="2"/>
      <c r="T907" s="2"/>
      <c r="U907" s="2"/>
      <c r="V907" s="2"/>
      <c r="W907" s="2"/>
      <c r="X907" s="2"/>
      <c r="Y907" s="3"/>
      <c r="Z907" s="3"/>
    </row>
    <row r="908" ht="13.5" customHeight="1">
      <c r="A908" s="4"/>
      <c r="B908" s="4"/>
      <c r="C908" s="4"/>
      <c r="D908" s="5"/>
      <c r="E908" s="97"/>
      <c r="F908" s="98"/>
      <c r="G908" s="98"/>
      <c r="H908" s="98"/>
      <c r="I908" s="98"/>
      <c r="J908" s="98"/>
      <c r="K908" s="98"/>
      <c r="L908" s="98"/>
      <c r="M908" s="99"/>
      <c r="N908" s="99"/>
      <c r="O908" s="3"/>
      <c r="P908" s="3"/>
      <c r="Q908" s="100"/>
      <c r="R908" s="2"/>
      <c r="S908" s="2"/>
      <c r="T908" s="2"/>
      <c r="U908" s="2"/>
      <c r="V908" s="2"/>
      <c r="W908" s="2"/>
      <c r="X908" s="2"/>
      <c r="Y908" s="3"/>
      <c r="Z908" s="3"/>
    </row>
    <row r="909" ht="13.5" customHeight="1">
      <c r="A909" s="4"/>
      <c r="B909" s="4"/>
      <c r="C909" s="4"/>
      <c r="D909" s="5"/>
      <c r="E909" s="97"/>
      <c r="F909" s="98"/>
      <c r="G909" s="98"/>
      <c r="H909" s="98"/>
      <c r="I909" s="98"/>
      <c r="J909" s="98"/>
      <c r="K909" s="98"/>
      <c r="L909" s="98"/>
      <c r="M909" s="99"/>
      <c r="N909" s="99"/>
      <c r="O909" s="3"/>
      <c r="P909" s="3"/>
      <c r="Q909" s="100"/>
      <c r="R909" s="2"/>
      <c r="S909" s="2"/>
      <c r="T909" s="2"/>
      <c r="U909" s="2"/>
      <c r="V909" s="2"/>
      <c r="W909" s="2"/>
      <c r="X909" s="2"/>
      <c r="Y909" s="3"/>
      <c r="Z909" s="3"/>
    </row>
    <row r="910" ht="13.5" customHeight="1">
      <c r="A910" s="4"/>
      <c r="B910" s="4"/>
      <c r="C910" s="4"/>
      <c r="D910" s="5"/>
      <c r="E910" s="97"/>
      <c r="F910" s="98"/>
      <c r="G910" s="98"/>
      <c r="H910" s="98"/>
      <c r="I910" s="98"/>
      <c r="J910" s="98"/>
      <c r="K910" s="98"/>
      <c r="L910" s="98"/>
      <c r="M910" s="99"/>
      <c r="N910" s="99"/>
      <c r="O910" s="3"/>
      <c r="P910" s="3"/>
      <c r="Q910" s="100"/>
      <c r="R910" s="2"/>
      <c r="S910" s="2"/>
      <c r="T910" s="2"/>
      <c r="U910" s="2"/>
      <c r="V910" s="2"/>
      <c r="W910" s="2"/>
      <c r="X910" s="2"/>
      <c r="Y910" s="3"/>
      <c r="Z910" s="3"/>
    </row>
    <row r="911" ht="13.5" customHeight="1">
      <c r="A911" s="4"/>
      <c r="B911" s="4"/>
      <c r="C911" s="4"/>
      <c r="D911" s="5"/>
      <c r="E911" s="97"/>
      <c r="F911" s="98"/>
      <c r="G911" s="98"/>
      <c r="H911" s="98"/>
      <c r="I911" s="98"/>
      <c r="J911" s="98"/>
      <c r="K911" s="98"/>
      <c r="L911" s="98"/>
      <c r="M911" s="99"/>
      <c r="N911" s="99"/>
      <c r="O911" s="3"/>
      <c r="P911" s="3"/>
      <c r="Q911" s="100"/>
      <c r="R911" s="2"/>
      <c r="S911" s="2"/>
      <c r="T911" s="2"/>
      <c r="U911" s="2"/>
      <c r="V911" s="2"/>
      <c r="W911" s="2"/>
      <c r="X911" s="2"/>
      <c r="Y911" s="3"/>
      <c r="Z911" s="3"/>
    </row>
    <row r="912" ht="13.5" customHeight="1">
      <c r="A912" s="4"/>
      <c r="B912" s="4"/>
      <c r="C912" s="4"/>
      <c r="D912" s="5"/>
      <c r="E912" s="97"/>
      <c r="F912" s="98"/>
      <c r="G912" s="98"/>
      <c r="H912" s="98"/>
      <c r="I912" s="98"/>
      <c r="J912" s="98"/>
      <c r="K912" s="98"/>
      <c r="L912" s="98"/>
      <c r="M912" s="99"/>
      <c r="N912" s="99"/>
      <c r="O912" s="3"/>
      <c r="P912" s="3"/>
      <c r="Q912" s="100"/>
      <c r="R912" s="2"/>
      <c r="S912" s="2"/>
      <c r="T912" s="2"/>
      <c r="U912" s="2"/>
      <c r="V912" s="2"/>
      <c r="W912" s="2"/>
      <c r="X912" s="2"/>
      <c r="Y912" s="3"/>
      <c r="Z912" s="3"/>
    </row>
    <row r="913" ht="13.5" customHeight="1">
      <c r="A913" s="4"/>
      <c r="B913" s="4"/>
      <c r="C913" s="4"/>
      <c r="D913" s="5"/>
      <c r="E913" s="97"/>
      <c r="F913" s="98"/>
      <c r="G913" s="98"/>
      <c r="H913" s="98"/>
      <c r="I913" s="98"/>
      <c r="J913" s="98"/>
      <c r="K913" s="98"/>
      <c r="L913" s="98"/>
      <c r="M913" s="99"/>
      <c r="N913" s="99"/>
      <c r="O913" s="3"/>
      <c r="P913" s="3"/>
      <c r="Q913" s="100"/>
      <c r="R913" s="2"/>
      <c r="S913" s="2"/>
      <c r="T913" s="2"/>
      <c r="U913" s="2"/>
      <c r="V913" s="2"/>
      <c r="W913" s="2"/>
      <c r="X913" s="2"/>
      <c r="Y913" s="3"/>
      <c r="Z913" s="3"/>
    </row>
    <row r="914" ht="13.5" customHeight="1">
      <c r="A914" s="4"/>
      <c r="B914" s="4"/>
      <c r="C914" s="4"/>
      <c r="D914" s="5"/>
      <c r="E914" s="97"/>
      <c r="F914" s="98"/>
      <c r="G914" s="98"/>
      <c r="H914" s="98"/>
      <c r="I914" s="98"/>
      <c r="J914" s="98"/>
      <c r="K914" s="98"/>
      <c r="L914" s="98"/>
      <c r="M914" s="99"/>
      <c r="N914" s="99"/>
      <c r="O914" s="3"/>
      <c r="P914" s="3"/>
      <c r="Q914" s="100"/>
      <c r="R914" s="2"/>
      <c r="S914" s="2"/>
      <c r="T914" s="2"/>
      <c r="U914" s="2"/>
      <c r="V914" s="2"/>
      <c r="W914" s="2"/>
      <c r="X914" s="2"/>
      <c r="Y914" s="3"/>
      <c r="Z914" s="3"/>
    </row>
    <row r="915" ht="13.5" customHeight="1">
      <c r="A915" s="4"/>
      <c r="B915" s="4"/>
      <c r="C915" s="4"/>
      <c r="D915" s="5"/>
      <c r="E915" s="97"/>
      <c r="F915" s="98"/>
      <c r="G915" s="98"/>
      <c r="H915" s="98"/>
      <c r="I915" s="98"/>
      <c r="J915" s="98"/>
      <c r="K915" s="98"/>
      <c r="L915" s="98"/>
      <c r="M915" s="99"/>
      <c r="N915" s="99"/>
      <c r="O915" s="3"/>
      <c r="P915" s="3"/>
      <c r="Q915" s="100"/>
      <c r="R915" s="2"/>
      <c r="S915" s="2"/>
      <c r="T915" s="2"/>
      <c r="U915" s="2"/>
      <c r="V915" s="2"/>
      <c r="W915" s="2"/>
      <c r="X915" s="2"/>
      <c r="Y915" s="3"/>
      <c r="Z915" s="3"/>
    </row>
    <row r="916" ht="13.5" customHeight="1">
      <c r="A916" s="4"/>
      <c r="B916" s="4"/>
      <c r="C916" s="4"/>
      <c r="D916" s="5"/>
      <c r="E916" s="97"/>
      <c r="F916" s="98"/>
      <c r="G916" s="98"/>
      <c r="H916" s="98"/>
      <c r="I916" s="98"/>
      <c r="J916" s="98"/>
      <c r="K916" s="98"/>
      <c r="L916" s="98"/>
      <c r="M916" s="99"/>
      <c r="N916" s="99"/>
      <c r="O916" s="3"/>
      <c r="P916" s="3"/>
      <c r="Q916" s="100"/>
      <c r="R916" s="2"/>
      <c r="S916" s="2"/>
      <c r="T916" s="2"/>
      <c r="U916" s="2"/>
      <c r="V916" s="2"/>
      <c r="W916" s="2"/>
      <c r="X916" s="2"/>
      <c r="Y916" s="3"/>
      <c r="Z916" s="3"/>
    </row>
    <row r="917" ht="13.5" customHeight="1">
      <c r="A917" s="4"/>
      <c r="B917" s="4"/>
      <c r="C917" s="4"/>
      <c r="D917" s="5"/>
      <c r="E917" s="97"/>
      <c r="F917" s="98"/>
      <c r="G917" s="98"/>
      <c r="H917" s="98"/>
      <c r="I917" s="98"/>
      <c r="J917" s="98"/>
      <c r="K917" s="98"/>
      <c r="L917" s="98"/>
      <c r="M917" s="99"/>
      <c r="N917" s="99"/>
      <c r="O917" s="3"/>
      <c r="P917" s="3"/>
      <c r="Q917" s="100"/>
      <c r="R917" s="2"/>
      <c r="S917" s="2"/>
      <c r="T917" s="2"/>
      <c r="U917" s="2"/>
      <c r="V917" s="2"/>
      <c r="W917" s="2"/>
      <c r="X917" s="2"/>
      <c r="Y917" s="3"/>
      <c r="Z917" s="3"/>
    </row>
    <row r="918" ht="13.5" customHeight="1">
      <c r="A918" s="4"/>
      <c r="B918" s="4"/>
      <c r="C918" s="4"/>
      <c r="D918" s="5"/>
      <c r="E918" s="97"/>
      <c r="F918" s="98"/>
      <c r="G918" s="98"/>
      <c r="H918" s="98"/>
      <c r="I918" s="98"/>
      <c r="J918" s="98"/>
      <c r="K918" s="98"/>
      <c r="L918" s="98"/>
      <c r="M918" s="99"/>
      <c r="N918" s="99"/>
      <c r="O918" s="3"/>
      <c r="P918" s="3"/>
      <c r="Q918" s="100"/>
      <c r="R918" s="2"/>
      <c r="S918" s="2"/>
      <c r="T918" s="2"/>
      <c r="U918" s="2"/>
      <c r="V918" s="2"/>
      <c r="W918" s="2"/>
      <c r="X918" s="2"/>
      <c r="Y918" s="3"/>
      <c r="Z918" s="3"/>
    </row>
    <row r="919" ht="13.5" customHeight="1">
      <c r="A919" s="4"/>
      <c r="B919" s="4"/>
      <c r="C919" s="4"/>
      <c r="D919" s="5"/>
      <c r="E919" s="97"/>
      <c r="F919" s="98"/>
      <c r="G919" s="98"/>
      <c r="H919" s="98"/>
      <c r="I919" s="98"/>
      <c r="J919" s="98"/>
      <c r="K919" s="98"/>
      <c r="L919" s="98"/>
      <c r="M919" s="99"/>
      <c r="N919" s="99"/>
      <c r="O919" s="3"/>
      <c r="P919" s="3"/>
      <c r="Q919" s="100"/>
      <c r="R919" s="2"/>
      <c r="S919" s="2"/>
      <c r="T919" s="2"/>
      <c r="U919" s="2"/>
      <c r="V919" s="2"/>
      <c r="W919" s="2"/>
      <c r="X919" s="2"/>
      <c r="Y919" s="3"/>
      <c r="Z919" s="3"/>
    </row>
    <row r="920" ht="13.5" customHeight="1">
      <c r="A920" s="4"/>
      <c r="B920" s="4"/>
      <c r="C920" s="4"/>
      <c r="D920" s="5"/>
      <c r="E920" s="97"/>
      <c r="F920" s="98"/>
      <c r="G920" s="98"/>
      <c r="H920" s="98"/>
      <c r="I920" s="98"/>
      <c r="J920" s="98"/>
      <c r="K920" s="98"/>
      <c r="L920" s="98"/>
      <c r="M920" s="99"/>
      <c r="N920" s="99"/>
      <c r="O920" s="3"/>
      <c r="P920" s="3"/>
      <c r="Q920" s="100"/>
      <c r="R920" s="2"/>
      <c r="S920" s="2"/>
      <c r="T920" s="2"/>
      <c r="U920" s="2"/>
      <c r="V920" s="2"/>
      <c r="W920" s="2"/>
      <c r="X920" s="2"/>
      <c r="Y920" s="3"/>
      <c r="Z920" s="3"/>
    </row>
    <row r="921" ht="13.5" customHeight="1">
      <c r="A921" s="4"/>
      <c r="B921" s="4"/>
      <c r="C921" s="4"/>
      <c r="D921" s="5"/>
      <c r="E921" s="97"/>
      <c r="F921" s="98"/>
      <c r="G921" s="98"/>
      <c r="H921" s="98"/>
      <c r="I921" s="98"/>
      <c r="J921" s="98"/>
      <c r="K921" s="98"/>
      <c r="L921" s="98"/>
      <c r="M921" s="99"/>
      <c r="N921" s="99"/>
      <c r="O921" s="3"/>
      <c r="P921" s="3"/>
      <c r="Q921" s="100"/>
      <c r="R921" s="2"/>
      <c r="S921" s="2"/>
      <c r="T921" s="2"/>
      <c r="U921" s="2"/>
      <c r="V921" s="2"/>
      <c r="W921" s="2"/>
      <c r="X921" s="2"/>
      <c r="Y921" s="3"/>
      <c r="Z921" s="3"/>
    </row>
    <row r="922" ht="13.5" customHeight="1">
      <c r="A922" s="4"/>
      <c r="B922" s="4"/>
      <c r="C922" s="4"/>
      <c r="D922" s="5"/>
      <c r="E922" s="97"/>
      <c r="F922" s="98"/>
      <c r="G922" s="98"/>
      <c r="H922" s="98"/>
      <c r="I922" s="98"/>
      <c r="J922" s="98"/>
      <c r="K922" s="98"/>
      <c r="L922" s="98"/>
      <c r="M922" s="99"/>
      <c r="N922" s="99"/>
      <c r="O922" s="3"/>
      <c r="P922" s="3"/>
      <c r="Q922" s="100"/>
      <c r="R922" s="2"/>
      <c r="S922" s="2"/>
      <c r="T922" s="2"/>
      <c r="U922" s="2"/>
      <c r="V922" s="2"/>
      <c r="W922" s="2"/>
      <c r="X922" s="2"/>
      <c r="Y922" s="3"/>
      <c r="Z922" s="3"/>
    </row>
    <row r="923" ht="13.5" customHeight="1">
      <c r="A923" s="4"/>
      <c r="B923" s="4"/>
      <c r="C923" s="4"/>
      <c r="D923" s="5"/>
      <c r="E923" s="97"/>
      <c r="F923" s="98"/>
      <c r="G923" s="98"/>
      <c r="H923" s="98"/>
      <c r="I923" s="98"/>
      <c r="J923" s="98"/>
      <c r="K923" s="98"/>
      <c r="L923" s="98"/>
      <c r="M923" s="99"/>
      <c r="N923" s="99"/>
      <c r="O923" s="3"/>
      <c r="P923" s="3"/>
      <c r="Q923" s="100"/>
      <c r="R923" s="2"/>
      <c r="S923" s="2"/>
      <c r="T923" s="2"/>
      <c r="U923" s="2"/>
      <c r="V923" s="2"/>
      <c r="W923" s="2"/>
      <c r="X923" s="2"/>
      <c r="Y923" s="3"/>
      <c r="Z923" s="3"/>
    </row>
    <row r="924" ht="13.5" customHeight="1">
      <c r="A924" s="4"/>
      <c r="B924" s="4"/>
      <c r="C924" s="4"/>
      <c r="D924" s="5"/>
      <c r="E924" s="97"/>
      <c r="F924" s="98"/>
      <c r="G924" s="98"/>
      <c r="H924" s="98"/>
      <c r="I924" s="98"/>
      <c r="J924" s="98"/>
      <c r="K924" s="98"/>
      <c r="L924" s="98"/>
      <c r="M924" s="99"/>
      <c r="N924" s="99"/>
      <c r="O924" s="3"/>
      <c r="P924" s="3"/>
      <c r="Q924" s="100"/>
      <c r="R924" s="2"/>
      <c r="S924" s="2"/>
      <c r="T924" s="2"/>
      <c r="U924" s="2"/>
      <c r="V924" s="2"/>
      <c r="W924" s="2"/>
      <c r="X924" s="2"/>
      <c r="Y924" s="3"/>
      <c r="Z924" s="3"/>
    </row>
    <row r="925" ht="13.5" customHeight="1">
      <c r="A925" s="4"/>
      <c r="B925" s="4"/>
      <c r="C925" s="4"/>
      <c r="D925" s="5"/>
      <c r="E925" s="97"/>
      <c r="F925" s="98"/>
      <c r="G925" s="98"/>
      <c r="H925" s="98"/>
      <c r="I925" s="98"/>
      <c r="J925" s="98"/>
      <c r="K925" s="98"/>
      <c r="L925" s="98"/>
      <c r="M925" s="99"/>
      <c r="N925" s="99"/>
      <c r="O925" s="3"/>
      <c r="P925" s="3"/>
      <c r="Q925" s="100"/>
      <c r="R925" s="2"/>
      <c r="S925" s="2"/>
      <c r="T925" s="2"/>
      <c r="U925" s="2"/>
      <c r="V925" s="2"/>
      <c r="W925" s="2"/>
      <c r="X925" s="2"/>
      <c r="Y925" s="3"/>
      <c r="Z925" s="3"/>
    </row>
    <row r="926" ht="13.5" customHeight="1">
      <c r="A926" s="4"/>
      <c r="B926" s="4"/>
      <c r="C926" s="4"/>
      <c r="D926" s="5"/>
      <c r="E926" s="97"/>
      <c r="F926" s="98"/>
      <c r="G926" s="98"/>
      <c r="H926" s="98"/>
      <c r="I926" s="98"/>
      <c r="J926" s="98"/>
      <c r="K926" s="98"/>
      <c r="L926" s="98"/>
      <c r="M926" s="99"/>
      <c r="N926" s="99"/>
      <c r="O926" s="3"/>
      <c r="P926" s="3"/>
      <c r="Q926" s="100"/>
      <c r="R926" s="2"/>
      <c r="S926" s="2"/>
      <c r="T926" s="2"/>
      <c r="U926" s="2"/>
      <c r="V926" s="2"/>
      <c r="W926" s="2"/>
      <c r="X926" s="2"/>
      <c r="Y926" s="3"/>
      <c r="Z926" s="3"/>
    </row>
    <row r="927" ht="13.5" customHeight="1">
      <c r="A927" s="4"/>
      <c r="B927" s="4"/>
      <c r="C927" s="4"/>
      <c r="D927" s="5"/>
      <c r="E927" s="97"/>
      <c r="F927" s="98"/>
      <c r="G927" s="98"/>
      <c r="H927" s="98"/>
      <c r="I927" s="98"/>
      <c r="J927" s="98"/>
      <c r="K927" s="98"/>
      <c r="L927" s="98"/>
      <c r="M927" s="99"/>
      <c r="N927" s="99"/>
      <c r="O927" s="3"/>
      <c r="P927" s="3"/>
      <c r="Q927" s="100"/>
      <c r="R927" s="2"/>
      <c r="S927" s="2"/>
      <c r="T927" s="2"/>
      <c r="U927" s="2"/>
      <c r="V927" s="2"/>
      <c r="W927" s="2"/>
      <c r="X927" s="2"/>
      <c r="Y927" s="3"/>
      <c r="Z927" s="3"/>
    </row>
    <row r="928" ht="13.5" customHeight="1">
      <c r="A928" s="4"/>
      <c r="B928" s="4"/>
      <c r="C928" s="4"/>
      <c r="D928" s="5"/>
      <c r="E928" s="97"/>
      <c r="F928" s="98"/>
      <c r="G928" s="98"/>
      <c r="H928" s="98"/>
      <c r="I928" s="98"/>
      <c r="J928" s="98"/>
      <c r="K928" s="98"/>
      <c r="L928" s="98"/>
      <c r="M928" s="99"/>
      <c r="N928" s="99"/>
      <c r="O928" s="3"/>
      <c r="P928" s="3"/>
      <c r="Q928" s="100"/>
      <c r="R928" s="2"/>
      <c r="S928" s="2"/>
      <c r="T928" s="2"/>
      <c r="U928" s="2"/>
      <c r="V928" s="2"/>
      <c r="W928" s="2"/>
      <c r="X928" s="2"/>
      <c r="Y928" s="3"/>
      <c r="Z928" s="3"/>
    </row>
    <row r="929" ht="13.5" customHeight="1">
      <c r="A929" s="4"/>
      <c r="B929" s="4"/>
      <c r="C929" s="4"/>
      <c r="D929" s="5"/>
      <c r="E929" s="97"/>
      <c r="F929" s="98"/>
      <c r="G929" s="98"/>
      <c r="H929" s="98"/>
      <c r="I929" s="98"/>
      <c r="J929" s="98"/>
      <c r="K929" s="98"/>
      <c r="L929" s="98"/>
      <c r="M929" s="99"/>
      <c r="N929" s="99"/>
      <c r="O929" s="3"/>
      <c r="P929" s="3"/>
      <c r="Q929" s="100"/>
      <c r="R929" s="2"/>
      <c r="S929" s="2"/>
      <c r="T929" s="2"/>
      <c r="U929" s="2"/>
      <c r="V929" s="2"/>
      <c r="W929" s="2"/>
      <c r="X929" s="2"/>
      <c r="Y929" s="3"/>
      <c r="Z929" s="3"/>
    </row>
    <row r="930" ht="13.5" customHeight="1">
      <c r="A930" s="4"/>
      <c r="B930" s="4"/>
      <c r="C930" s="4"/>
      <c r="D930" s="5"/>
      <c r="E930" s="97"/>
      <c r="F930" s="98"/>
      <c r="G930" s="98"/>
      <c r="H930" s="98"/>
      <c r="I930" s="98"/>
      <c r="J930" s="98"/>
      <c r="K930" s="98"/>
      <c r="L930" s="98"/>
      <c r="M930" s="99"/>
      <c r="N930" s="99"/>
      <c r="O930" s="3"/>
      <c r="P930" s="3"/>
      <c r="Q930" s="100"/>
      <c r="R930" s="2"/>
      <c r="S930" s="2"/>
      <c r="T930" s="2"/>
      <c r="U930" s="2"/>
      <c r="V930" s="2"/>
      <c r="W930" s="2"/>
      <c r="X930" s="2"/>
      <c r="Y930" s="3"/>
      <c r="Z930" s="3"/>
    </row>
    <row r="931" ht="13.5" customHeight="1">
      <c r="A931" s="4"/>
      <c r="B931" s="4"/>
      <c r="C931" s="4"/>
      <c r="D931" s="5"/>
      <c r="E931" s="97"/>
      <c r="F931" s="98"/>
      <c r="G931" s="98"/>
      <c r="H931" s="98"/>
      <c r="I931" s="98"/>
      <c r="J931" s="98"/>
      <c r="K931" s="98"/>
      <c r="L931" s="98"/>
      <c r="M931" s="99"/>
      <c r="N931" s="99"/>
      <c r="O931" s="3"/>
      <c r="P931" s="3"/>
      <c r="Q931" s="100"/>
      <c r="R931" s="2"/>
      <c r="S931" s="2"/>
      <c r="T931" s="2"/>
      <c r="U931" s="2"/>
      <c r="V931" s="2"/>
      <c r="W931" s="2"/>
      <c r="X931" s="2"/>
      <c r="Y931" s="3"/>
      <c r="Z931" s="3"/>
    </row>
    <row r="932" ht="13.5" customHeight="1">
      <c r="A932" s="4"/>
      <c r="B932" s="4"/>
      <c r="C932" s="4"/>
      <c r="D932" s="5"/>
      <c r="E932" s="97"/>
      <c r="F932" s="98"/>
      <c r="G932" s="98"/>
      <c r="H932" s="98"/>
      <c r="I932" s="98"/>
      <c r="J932" s="98"/>
      <c r="K932" s="98"/>
      <c r="L932" s="98"/>
      <c r="M932" s="99"/>
      <c r="N932" s="99"/>
      <c r="O932" s="3"/>
      <c r="P932" s="3"/>
      <c r="Q932" s="100"/>
      <c r="R932" s="2"/>
      <c r="S932" s="2"/>
      <c r="T932" s="2"/>
      <c r="U932" s="2"/>
      <c r="V932" s="2"/>
      <c r="W932" s="2"/>
      <c r="X932" s="2"/>
      <c r="Y932" s="3"/>
      <c r="Z932" s="3"/>
    </row>
    <row r="933" ht="13.5" customHeight="1">
      <c r="A933" s="4"/>
      <c r="B933" s="4"/>
      <c r="C933" s="4"/>
      <c r="D933" s="5"/>
      <c r="E933" s="97"/>
      <c r="F933" s="98"/>
      <c r="G933" s="98"/>
      <c r="H933" s="98"/>
      <c r="I933" s="98"/>
      <c r="J933" s="98"/>
      <c r="K933" s="98"/>
      <c r="L933" s="98"/>
      <c r="M933" s="99"/>
      <c r="N933" s="99"/>
      <c r="O933" s="3"/>
      <c r="P933" s="3"/>
      <c r="Q933" s="100"/>
      <c r="R933" s="2"/>
      <c r="S933" s="2"/>
      <c r="T933" s="2"/>
      <c r="U933" s="2"/>
      <c r="V933" s="2"/>
      <c r="W933" s="2"/>
      <c r="X933" s="2"/>
      <c r="Y933" s="3"/>
      <c r="Z933" s="3"/>
    </row>
    <row r="934" ht="13.5" customHeight="1">
      <c r="A934" s="4"/>
      <c r="B934" s="4"/>
      <c r="C934" s="4"/>
      <c r="D934" s="5"/>
      <c r="E934" s="97"/>
      <c r="F934" s="98"/>
      <c r="G934" s="98"/>
      <c r="H934" s="98"/>
      <c r="I934" s="98"/>
      <c r="J934" s="98"/>
      <c r="K934" s="98"/>
      <c r="L934" s="98"/>
      <c r="M934" s="99"/>
      <c r="N934" s="99"/>
      <c r="O934" s="3"/>
      <c r="P934" s="3"/>
      <c r="Q934" s="100"/>
      <c r="R934" s="2"/>
      <c r="S934" s="2"/>
      <c r="T934" s="2"/>
      <c r="U934" s="2"/>
      <c r="V934" s="2"/>
      <c r="W934" s="2"/>
      <c r="X934" s="2"/>
      <c r="Y934" s="3"/>
      <c r="Z934" s="3"/>
    </row>
    <row r="935" ht="13.5" customHeight="1">
      <c r="A935" s="4"/>
      <c r="B935" s="4"/>
      <c r="C935" s="4"/>
      <c r="D935" s="5"/>
      <c r="E935" s="97"/>
      <c r="F935" s="98"/>
      <c r="G935" s="98"/>
      <c r="H935" s="98"/>
      <c r="I935" s="98"/>
      <c r="J935" s="98"/>
      <c r="K935" s="98"/>
      <c r="L935" s="98"/>
      <c r="M935" s="99"/>
      <c r="N935" s="99"/>
      <c r="O935" s="3"/>
      <c r="P935" s="3"/>
      <c r="Q935" s="100"/>
      <c r="R935" s="2"/>
      <c r="S935" s="2"/>
      <c r="T935" s="2"/>
      <c r="U935" s="2"/>
      <c r="V935" s="2"/>
      <c r="W935" s="2"/>
      <c r="X935" s="2"/>
      <c r="Y935" s="3"/>
      <c r="Z935" s="3"/>
    </row>
    <row r="936" ht="13.5" customHeight="1">
      <c r="A936" s="4"/>
      <c r="B936" s="4"/>
      <c r="C936" s="4"/>
      <c r="D936" s="5"/>
      <c r="E936" s="97"/>
      <c r="F936" s="98"/>
      <c r="G936" s="98"/>
      <c r="H936" s="98"/>
      <c r="I936" s="98"/>
      <c r="J936" s="98"/>
      <c r="K936" s="98"/>
      <c r="L936" s="98"/>
      <c r="M936" s="99"/>
      <c r="N936" s="99"/>
      <c r="O936" s="3"/>
      <c r="P936" s="3"/>
      <c r="Q936" s="100"/>
      <c r="R936" s="2"/>
      <c r="S936" s="2"/>
      <c r="T936" s="2"/>
      <c r="U936" s="2"/>
      <c r="V936" s="2"/>
      <c r="W936" s="2"/>
      <c r="X936" s="2"/>
      <c r="Y936" s="3"/>
      <c r="Z936" s="3"/>
    </row>
    <row r="937" ht="13.5" customHeight="1">
      <c r="A937" s="4"/>
      <c r="B937" s="4"/>
      <c r="C937" s="4"/>
      <c r="D937" s="5"/>
      <c r="E937" s="97"/>
      <c r="F937" s="98"/>
      <c r="G937" s="98"/>
      <c r="H937" s="98"/>
      <c r="I937" s="98"/>
      <c r="J937" s="98"/>
      <c r="K937" s="98"/>
      <c r="L937" s="98"/>
      <c r="M937" s="99"/>
      <c r="N937" s="99"/>
      <c r="O937" s="3"/>
      <c r="P937" s="3"/>
      <c r="Q937" s="100"/>
      <c r="R937" s="2"/>
      <c r="S937" s="2"/>
      <c r="T937" s="2"/>
      <c r="U937" s="2"/>
      <c r="V937" s="2"/>
      <c r="W937" s="2"/>
      <c r="X937" s="2"/>
      <c r="Y937" s="3"/>
      <c r="Z937" s="3"/>
    </row>
    <row r="938" ht="13.5" customHeight="1">
      <c r="A938" s="4"/>
      <c r="B938" s="4"/>
      <c r="C938" s="4"/>
      <c r="D938" s="5"/>
      <c r="E938" s="97"/>
      <c r="F938" s="98"/>
      <c r="G938" s="98"/>
      <c r="H938" s="98"/>
      <c r="I938" s="98"/>
      <c r="J938" s="98"/>
      <c r="K938" s="98"/>
      <c r="L938" s="98"/>
      <c r="M938" s="99"/>
      <c r="N938" s="99"/>
      <c r="O938" s="3"/>
      <c r="P938" s="3"/>
      <c r="Q938" s="100"/>
      <c r="R938" s="2"/>
      <c r="S938" s="2"/>
      <c r="T938" s="2"/>
      <c r="U938" s="2"/>
      <c r="V938" s="2"/>
      <c r="W938" s="2"/>
      <c r="X938" s="2"/>
      <c r="Y938" s="3"/>
      <c r="Z938" s="3"/>
    </row>
    <row r="939" ht="13.5" customHeight="1">
      <c r="A939" s="4"/>
      <c r="B939" s="4"/>
      <c r="C939" s="4"/>
      <c r="D939" s="5"/>
      <c r="E939" s="97"/>
      <c r="F939" s="98"/>
      <c r="G939" s="98"/>
      <c r="H939" s="98"/>
      <c r="I939" s="98"/>
      <c r="J939" s="98"/>
      <c r="K939" s="98"/>
      <c r="L939" s="98"/>
      <c r="M939" s="99"/>
      <c r="N939" s="99"/>
      <c r="O939" s="3"/>
      <c r="P939" s="3"/>
      <c r="Q939" s="100"/>
      <c r="R939" s="2"/>
      <c r="S939" s="2"/>
      <c r="T939" s="2"/>
      <c r="U939" s="2"/>
      <c r="V939" s="2"/>
      <c r="W939" s="2"/>
      <c r="X939" s="2"/>
      <c r="Y939" s="3"/>
      <c r="Z939" s="3"/>
    </row>
    <row r="940" ht="13.5" customHeight="1">
      <c r="A940" s="4"/>
      <c r="B940" s="4"/>
      <c r="C940" s="4"/>
      <c r="D940" s="5"/>
      <c r="E940" s="97"/>
      <c r="F940" s="98"/>
      <c r="G940" s="98"/>
      <c r="H940" s="98"/>
      <c r="I940" s="98"/>
      <c r="J940" s="98"/>
      <c r="K940" s="98"/>
      <c r="L940" s="98"/>
      <c r="M940" s="99"/>
      <c r="N940" s="99"/>
      <c r="O940" s="3"/>
      <c r="P940" s="3"/>
      <c r="Q940" s="100"/>
      <c r="R940" s="2"/>
      <c r="S940" s="2"/>
      <c r="T940" s="2"/>
      <c r="U940" s="2"/>
      <c r="V940" s="2"/>
      <c r="W940" s="2"/>
      <c r="X940" s="2"/>
      <c r="Y940" s="3"/>
      <c r="Z940" s="3"/>
    </row>
    <row r="941" ht="13.5" customHeight="1">
      <c r="A941" s="4"/>
      <c r="B941" s="4"/>
      <c r="C941" s="4"/>
      <c r="D941" s="5"/>
      <c r="E941" s="97"/>
      <c r="F941" s="98"/>
      <c r="G941" s="98"/>
      <c r="H941" s="98"/>
      <c r="I941" s="98"/>
      <c r="J941" s="98"/>
      <c r="K941" s="98"/>
      <c r="L941" s="98"/>
      <c r="M941" s="99"/>
      <c r="N941" s="99"/>
      <c r="O941" s="3"/>
      <c r="P941" s="3"/>
      <c r="Q941" s="100"/>
      <c r="R941" s="2"/>
      <c r="S941" s="2"/>
      <c r="T941" s="2"/>
      <c r="U941" s="2"/>
      <c r="V941" s="2"/>
      <c r="W941" s="2"/>
      <c r="X941" s="2"/>
      <c r="Y941" s="3"/>
      <c r="Z941" s="3"/>
    </row>
    <row r="942" ht="13.5" customHeight="1">
      <c r="A942" s="4"/>
      <c r="B942" s="4"/>
      <c r="C942" s="4"/>
      <c r="D942" s="5"/>
      <c r="E942" s="97"/>
      <c r="F942" s="98"/>
      <c r="G942" s="98"/>
      <c r="H942" s="98"/>
      <c r="I942" s="98"/>
      <c r="J942" s="98"/>
      <c r="K942" s="98"/>
      <c r="L942" s="98"/>
      <c r="M942" s="99"/>
      <c r="N942" s="99"/>
      <c r="O942" s="3"/>
      <c r="P942" s="3"/>
      <c r="Q942" s="100"/>
      <c r="R942" s="2"/>
      <c r="S942" s="2"/>
      <c r="T942" s="2"/>
      <c r="U942" s="2"/>
      <c r="V942" s="2"/>
      <c r="W942" s="2"/>
      <c r="X942" s="2"/>
      <c r="Y942" s="3"/>
      <c r="Z942" s="3"/>
    </row>
    <row r="943" ht="13.5" customHeight="1">
      <c r="A943" s="4"/>
      <c r="B943" s="4"/>
      <c r="C943" s="4"/>
      <c r="D943" s="5"/>
      <c r="E943" s="97"/>
      <c r="F943" s="98"/>
      <c r="G943" s="98"/>
      <c r="H943" s="98"/>
      <c r="I943" s="98"/>
      <c r="J943" s="98"/>
      <c r="K943" s="98"/>
      <c r="L943" s="98"/>
      <c r="M943" s="99"/>
      <c r="N943" s="99"/>
      <c r="O943" s="3"/>
      <c r="P943" s="3"/>
      <c r="Q943" s="100"/>
      <c r="R943" s="2"/>
      <c r="S943" s="2"/>
      <c r="T943" s="2"/>
      <c r="U943" s="2"/>
      <c r="V943" s="2"/>
      <c r="W943" s="2"/>
      <c r="X943" s="2"/>
      <c r="Y943" s="3"/>
      <c r="Z943" s="3"/>
    </row>
    <row r="944" ht="13.5" customHeight="1">
      <c r="A944" s="4"/>
      <c r="B944" s="4"/>
      <c r="C944" s="4"/>
      <c r="D944" s="5"/>
      <c r="E944" s="97"/>
      <c r="F944" s="98"/>
      <c r="G944" s="98"/>
      <c r="H944" s="98"/>
      <c r="I944" s="98"/>
      <c r="J944" s="98"/>
      <c r="K944" s="98"/>
      <c r="L944" s="98"/>
      <c r="M944" s="99"/>
      <c r="N944" s="99"/>
      <c r="O944" s="3"/>
      <c r="P944" s="3"/>
      <c r="Q944" s="100"/>
      <c r="R944" s="2"/>
      <c r="S944" s="2"/>
      <c r="T944" s="2"/>
      <c r="U944" s="2"/>
      <c r="V944" s="2"/>
      <c r="W944" s="2"/>
      <c r="X944" s="2"/>
      <c r="Y944" s="3"/>
      <c r="Z944" s="3"/>
    </row>
    <row r="945" ht="13.5" customHeight="1">
      <c r="A945" s="4"/>
      <c r="B945" s="4"/>
      <c r="C945" s="4"/>
      <c r="D945" s="5"/>
      <c r="E945" s="97"/>
      <c r="F945" s="98"/>
      <c r="G945" s="98"/>
      <c r="H945" s="98"/>
      <c r="I945" s="98"/>
      <c r="J945" s="98"/>
      <c r="K945" s="98"/>
      <c r="L945" s="98"/>
      <c r="M945" s="99"/>
      <c r="N945" s="99"/>
      <c r="O945" s="3"/>
      <c r="P945" s="3"/>
      <c r="Q945" s="100"/>
      <c r="R945" s="2"/>
      <c r="S945" s="2"/>
      <c r="T945" s="2"/>
      <c r="U945" s="2"/>
      <c r="V945" s="2"/>
      <c r="W945" s="2"/>
      <c r="X945" s="2"/>
      <c r="Y945" s="3"/>
      <c r="Z945" s="3"/>
    </row>
    <row r="946" ht="13.5" customHeight="1">
      <c r="A946" s="4"/>
      <c r="B946" s="4"/>
      <c r="C946" s="4"/>
      <c r="D946" s="5"/>
      <c r="E946" s="97"/>
      <c r="F946" s="98"/>
      <c r="G946" s="98"/>
      <c r="H946" s="98"/>
      <c r="I946" s="98"/>
      <c r="J946" s="98"/>
      <c r="K946" s="98"/>
      <c r="L946" s="98"/>
      <c r="M946" s="99"/>
      <c r="N946" s="99"/>
      <c r="O946" s="3"/>
      <c r="P946" s="3"/>
      <c r="Q946" s="100"/>
      <c r="R946" s="2"/>
      <c r="S946" s="2"/>
      <c r="T946" s="2"/>
      <c r="U946" s="2"/>
      <c r="V946" s="2"/>
      <c r="W946" s="2"/>
      <c r="X946" s="2"/>
      <c r="Y946" s="3"/>
      <c r="Z946" s="3"/>
    </row>
    <row r="947" ht="13.5" customHeight="1">
      <c r="A947" s="4"/>
      <c r="B947" s="4"/>
      <c r="C947" s="4"/>
      <c r="D947" s="5"/>
      <c r="E947" s="97"/>
      <c r="F947" s="98"/>
      <c r="G947" s="98"/>
      <c r="H947" s="98"/>
      <c r="I947" s="98"/>
      <c r="J947" s="98"/>
      <c r="K947" s="98"/>
      <c r="L947" s="98"/>
      <c r="M947" s="99"/>
      <c r="N947" s="99"/>
      <c r="O947" s="3"/>
      <c r="P947" s="3"/>
      <c r="Q947" s="100"/>
      <c r="R947" s="2"/>
      <c r="S947" s="2"/>
      <c r="T947" s="2"/>
      <c r="U947" s="2"/>
      <c r="V947" s="2"/>
      <c r="W947" s="2"/>
      <c r="X947" s="2"/>
      <c r="Y947" s="3"/>
      <c r="Z947" s="3"/>
    </row>
    <row r="948" ht="13.5" customHeight="1">
      <c r="A948" s="4"/>
      <c r="B948" s="4"/>
      <c r="C948" s="4"/>
      <c r="D948" s="5"/>
      <c r="E948" s="97"/>
      <c r="F948" s="98"/>
      <c r="G948" s="98"/>
      <c r="H948" s="98"/>
      <c r="I948" s="98"/>
      <c r="J948" s="98"/>
      <c r="K948" s="98"/>
      <c r="L948" s="98"/>
      <c r="M948" s="99"/>
      <c r="N948" s="99"/>
      <c r="O948" s="3"/>
      <c r="P948" s="3"/>
      <c r="Q948" s="100"/>
      <c r="R948" s="2"/>
      <c r="S948" s="2"/>
      <c r="T948" s="2"/>
      <c r="U948" s="2"/>
      <c r="V948" s="2"/>
      <c r="W948" s="2"/>
      <c r="X948" s="2"/>
      <c r="Y948" s="3"/>
      <c r="Z948" s="3"/>
    </row>
    <row r="949" ht="13.5" customHeight="1">
      <c r="A949" s="4"/>
      <c r="B949" s="4"/>
      <c r="C949" s="4"/>
      <c r="D949" s="5"/>
      <c r="E949" s="97"/>
      <c r="F949" s="98"/>
      <c r="G949" s="98"/>
      <c r="H949" s="98"/>
      <c r="I949" s="98"/>
      <c r="J949" s="98"/>
      <c r="K949" s="98"/>
      <c r="L949" s="98"/>
      <c r="M949" s="99"/>
      <c r="N949" s="99"/>
      <c r="O949" s="3"/>
      <c r="P949" s="3"/>
      <c r="Q949" s="100"/>
      <c r="R949" s="2"/>
      <c r="S949" s="2"/>
      <c r="T949" s="2"/>
      <c r="U949" s="2"/>
      <c r="V949" s="2"/>
      <c r="W949" s="2"/>
      <c r="X949" s="2"/>
      <c r="Y949" s="3"/>
      <c r="Z949" s="3"/>
    </row>
    <row r="950" ht="13.5" customHeight="1">
      <c r="A950" s="4"/>
      <c r="B950" s="4"/>
      <c r="C950" s="4"/>
      <c r="D950" s="5"/>
      <c r="E950" s="97"/>
      <c r="F950" s="98"/>
      <c r="G950" s="98"/>
      <c r="H950" s="98"/>
      <c r="I950" s="98"/>
      <c r="J950" s="98"/>
      <c r="K950" s="98"/>
      <c r="L950" s="98"/>
      <c r="M950" s="99"/>
      <c r="N950" s="99"/>
      <c r="O950" s="3"/>
      <c r="P950" s="3"/>
      <c r="Q950" s="100"/>
      <c r="R950" s="2"/>
      <c r="S950" s="2"/>
      <c r="T950" s="2"/>
      <c r="U950" s="2"/>
      <c r="V950" s="2"/>
      <c r="W950" s="2"/>
      <c r="X950" s="2"/>
      <c r="Y950" s="3"/>
      <c r="Z950" s="3"/>
    </row>
    <row r="951" ht="13.5" customHeight="1">
      <c r="A951" s="4"/>
      <c r="B951" s="4"/>
      <c r="C951" s="4"/>
      <c r="D951" s="5"/>
      <c r="E951" s="97"/>
      <c r="F951" s="98"/>
      <c r="G951" s="98"/>
      <c r="H951" s="98"/>
      <c r="I951" s="98"/>
      <c r="J951" s="98"/>
      <c r="K951" s="98"/>
      <c r="L951" s="98"/>
      <c r="M951" s="99"/>
      <c r="N951" s="99"/>
      <c r="O951" s="3"/>
      <c r="P951" s="3"/>
      <c r="Q951" s="100"/>
      <c r="R951" s="2"/>
      <c r="S951" s="2"/>
      <c r="T951" s="2"/>
      <c r="U951" s="2"/>
      <c r="V951" s="2"/>
      <c r="W951" s="2"/>
      <c r="X951" s="2"/>
      <c r="Y951" s="3"/>
      <c r="Z951" s="3"/>
    </row>
    <row r="952" ht="13.5" customHeight="1">
      <c r="A952" s="4"/>
      <c r="B952" s="4"/>
      <c r="C952" s="4"/>
      <c r="D952" s="5"/>
      <c r="E952" s="97"/>
      <c r="F952" s="98"/>
      <c r="G952" s="98"/>
      <c r="H952" s="98"/>
      <c r="I952" s="98"/>
      <c r="J952" s="98"/>
      <c r="K952" s="98"/>
      <c r="L952" s="98"/>
      <c r="M952" s="99"/>
      <c r="N952" s="99"/>
      <c r="O952" s="3"/>
      <c r="P952" s="3"/>
      <c r="Q952" s="100"/>
      <c r="R952" s="2"/>
      <c r="S952" s="2"/>
      <c r="T952" s="2"/>
      <c r="U952" s="2"/>
      <c r="V952" s="2"/>
      <c r="W952" s="2"/>
      <c r="X952" s="2"/>
      <c r="Y952" s="3"/>
      <c r="Z952" s="3"/>
    </row>
    <row r="953" ht="13.5" customHeight="1">
      <c r="A953" s="4"/>
      <c r="B953" s="4"/>
      <c r="C953" s="4"/>
      <c r="D953" s="5"/>
      <c r="E953" s="97"/>
      <c r="F953" s="98"/>
      <c r="G953" s="98"/>
      <c r="H953" s="98"/>
      <c r="I953" s="98"/>
      <c r="J953" s="98"/>
      <c r="K953" s="98"/>
      <c r="L953" s="98"/>
      <c r="M953" s="99"/>
      <c r="N953" s="99"/>
      <c r="O953" s="3"/>
      <c r="P953" s="3"/>
      <c r="Q953" s="100"/>
      <c r="R953" s="2"/>
      <c r="S953" s="2"/>
      <c r="T953" s="2"/>
      <c r="U953" s="2"/>
      <c r="V953" s="2"/>
      <c r="W953" s="2"/>
      <c r="X953" s="2"/>
      <c r="Y953" s="3"/>
      <c r="Z953" s="3"/>
    </row>
    <row r="954" ht="13.5" customHeight="1">
      <c r="A954" s="4"/>
      <c r="B954" s="4"/>
      <c r="C954" s="4"/>
      <c r="D954" s="5"/>
      <c r="E954" s="97"/>
      <c r="F954" s="98"/>
      <c r="G954" s="98"/>
      <c r="H954" s="98"/>
      <c r="I954" s="98"/>
      <c r="J954" s="98"/>
      <c r="K954" s="98"/>
      <c r="L954" s="98"/>
      <c r="M954" s="99"/>
      <c r="N954" s="99"/>
      <c r="O954" s="3"/>
      <c r="P954" s="3"/>
      <c r="Q954" s="100"/>
      <c r="R954" s="2"/>
      <c r="S954" s="2"/>
      <c r="T954" s="2"/>
      <c r="U954" s="2"/>
      <c r="V954" s="2"/>
      <c r="W954" s="2"/>
      <c r="X954" s="2"/>
      <c r="Y954" s="3"/>
      <c r="Z954" s="3"/>
    </row>
    <row r="955" ht="13.5" customHeight="1">
      <c r="A955" s="4"/>
      <c r="B955" s="4"/>
      <c r="C955" s="4"/>
      <c r="D955" s="5"/>
      <c r="E955" s="97"/>
      <c r="F955" s="98"/>
      <c r="G955" s="98"/>
      <c r="H955" s="98"/>
      <c r="I955" s="98"/>
      <c r="J955" s="98"/>
      <c r="K955" s="98"/>
      <c r="L955" s="98"/>
      <c r="M955" s="99"/>
      <c r="N955" s="99"/>
      <c r="O955" s="3"/>
      <c r="P955" s="3"/>
      <c r="Q955" s="100"/>
      <c r="R955" s="2"/>
      <c r="S955" s="2"/>
      <c r="T955" s="2"/>
      <c r="U955" s="2"/>
      <c r="V955" s="2"/>
      <c r="W955" s="2"/>
      <c r="X955" s="2"/>
      <c r="Y955" s="3"/>
      <c r="Z955" s="3"/>
    </row>
    <row r="956" ht="13.5" customHeight="1">
      <c r="A956" s="4"/>
      <c r="B956" s="4"/>
      <c r="C956" s="4"/>
      <c r="D956" s="5"/>
      <c r="E956" s="97"/>
      <c r="F956" s="98"/>
      <c r="G956" s="98"/>
      <c r="H956" s="98"/>
      <c r="I956" s="98"/>
      <c r="J956" s="98"/>
      <c r="K956" s="98"/>
      <c r="L956" s="98"/>
      <c r="M956" s="99"/>
      <c r="N956" s="99"/>
      <c r="O956" s="3"/>
      <c r="P956" s="3"/>
      <c r="Q956" s="100"/>
      <c r="R956" s="2"/>
      <c r="S956" s="2"/>
      <c r="T956" s="2"/>
      <c r="U956" s="2"/>
      <c r="V956" s="2"/>
      <c r="W956" s="2"/>
      <c r="X956" s="2"/>
      <c r="Y956" s="3"/>
      <c r="Z956" s="3"/>
    </row>
    <row r="957" ht="13.5" customHeight="1">
      <c r="A957" s="4"/>
      <c r="B957" s="4"/>
      <c r="C957" s="4"/>
      <c r="D957" s="5"/>
      <c r="E957" s="97"/>
      <c r="F957" s="98"/>
      <c r="G957" s="98"/>
      <c r="H957" s="98"/>
      <c r="I957" s="98"/>
      <c r="J957" s="98"/>
      <c r="K957" s="98"/>
      <c r="L957" s="98"/>
      <c r="M957" s="99"/>
      <c r="N957" s="99"/>
      <c r="O957" s="3"/>
      <c r="P957" s="3"/>
      <c r="Q957" s="100"/>
      <c r="R957" s="2"/>
      <c r="S957" s="2"/>
      <c r="T957" s="2"/>
      <c r="U957" s="2"/>
      <c r="V957" s="2"/>
      <c r="W957" s="2"/>
      <c r="X957" s="2"/>
      <c r="Y957" s="3"/>
      <c r="Z957" s="3"/>
    </row>
    <row r="958" ht="13.5" customHeight="1">
      <c r="A958" s="4"/>
      <c r="B958" s="4"/>
      <c r="C958" s="4"/>
      <c r="D958" s="5"/>
      <c r="E958" s="97"/>
      <c r="F958" s="98"/>
      <c r="G958" s="98"/>
      <c r="H958" s="98"/>
      <c r="I958" s="98"/>
      <c r="J958" s="98"/>
      <c r="K958" s="98"/>
      <c r="L958" s="98"/>
      <c r="M958" s="99"/>
      <c r="N958" s="99"/>
      <c r="O958" s="3"/>
      <c r="P958" s="3"/>
      <c r="Q958" s="100"/>
      <c r="R958" s="2"/>
      <c r="S958" s="2"/>
      <c r="T958" s="2"/>
      <c r="U958" s="2"/>
      <c r="V958" s="2"/>
      <c r="W958" s="2"/>
      <c r="X958" s="2"/>
      <c r="Y958" s="3"/>
      <c r="Z958" s="3"/>
    </row>
    <row r="959" ht="13.5" customHeight="1">
      <c r="A959" s="4"/>
      <c r="B959" s="4"/>
      <c r="C959" s="4"/>
      <c r="D959" s="5"/>
      <c r="E959" s="97"/>
      <c r="F959" s="98"/>
      <c r="G959" s="98"/>
      <c r="H959" s="98"/>
      <c r="I959" s="98"/>
      <c r="J959" s="98"/>
      <c r="K959" s="98"/>
      <c r="L959" s="98"/>
      <c r="M959" s="99"/>
      <c r="N959" s="99"/>
      <c r="O959" s="3"/>
      <c r="P959" s="3"/>
      <c r="Q959" s="100"/>
      <c r="R959" s="2"/>
      <c r="S959" s="2"/>
      <c r="T959" s="2"/>
      <c r="U959" s="2"/>
      <c r="V959" s="2"/>
      <c r="W959" s="2"/>
      <c r="X959" s="2"/>
      <c r="Y959" s="3"/>
      <c r="Z959" s="3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13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37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01"/>
      <c r="I5" s="21">
        <v>9809263.0</v>
      </c>
      <c r="J5" s="22"/>
      <c r="K5" s="23"/>
      <c r="L5" s="24"/>
      <c r="M5" s="25" t="s">
        <v>5</v>
      </c>
      <c r="N5" s="17"/>
      <c r="O5" s="102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103">
        <v>0.005</v>
      </c>
      <c r="J6" s="22"/>
      <c r="K6" s="104"/>
      <c r="L6" s="30"/>
      <c r="M6" s="31" t="s">
        <v>5</v>
      </c>
      <c r="N6" s="17"/>
      <c r="O6" s="105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01"/>
      <c r="I7" s="106">
        <v>120.0</v>
      </c>
      <c r="J7" s="22"/>
      <c r="K7" s="23"/>
      <c r="L7" s="30"/>
      <c r="M7" s="36">
        <v>3.1495591E7</v>
      </c>
      <c r="N7" s="17"/>
      <c r="O7" s="105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107"/>
      <c r="I8" s="39">
        <v>28.0</v>
      </c>
      <c r="J8" s="39">
        <v>3.0</v>
      </c>
      <c r="K8" s="40">
        <v>2036.0</v>
      </c>
      <c r="L8" s="30"/>
      <c r="M8" s="31" t="s">
        <v>10</v>
      </c>
      <c r="N8" s="17"/>
      <c r="O8" s="105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108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9809263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L129</f>
        <v>0</v>
      </c>
      <c r="M15" s="17"/>
      <c r="N15" s="64">
        <f>N129</f>
        <v>8749678</v>
      </c>
      <c r="O15" s="17"/>
      <c r="P15" s="65">
        <f t="shared" ref="P15:Q15" si="1">P129</f>
        <v>3229652</v>
      </c>
      <c r="Q15" s="66">
        <f t="shared" si="1"/>
        <v>11979330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2" t="s">
        <v>19</v>
      </c>
      <c r="G17" s="10"/>
      <c r="H17" s="17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3</v>
      </c>
      <c r="D18" s="75"/>
      <c r="E18" s="76">
        <v>0.0</v>
      </c>
      <c r="F18" s="77">
        <f>I8</f>
        <v>28</v>
      </c>
      <c r="G18" s="78" t="str">
        <f t="shared" ref="G18:G128" si="2">VLOOKUP(C18,$A$19:$B$30,2)</f>
        <v>Mar</v>
      </c>
      <c r="H18" s="79">
        <f>K8</f>
        <v>2036</v>
      </c>
      <c r="I18" s="80">
        <f>I5</f>
        <v>9809263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4</v>
      </c>
      <c r="D19" s="75"/>
      <c r="E19" s="76">
        <f t="shared" ref="E19:E128" si="4">IF($I$7&gt;=A19,A19,"0")</f>
        <v>1</v>
      </c>
      <c r="F19" s="85">
        <f t="shared" ref="F19:F67" si="5">$F$18</f>
        <v>28</v>
      </c>
      <c r="G19" s="78" t="str">
        <f t="shared" si="2"/>
        <v>Abr</v>
      </c>
      <c r="H19" s="86">
        <f t="shared" ref="H19:H128" si="6">IF(C19&gt;C18,H18,H18+1)</f>
        <v>2036</v>
      </c>
      <c r="I19" s="80">
        <f t="shared" ref="I19:I128" si="7">IF((I18-N19-L19)&lt;0,"Excede pago",IF((I18-N19-L19)=0,"0",ROUNDDOWN((I18-N19-L19),0)))</f>
        <v>9749406</v>
      </c>
      <c r="J19" s="10"/>
      <c r="K19" s="17"/>
      <c r="L19" s="81"/>
      <c r="M19" s="17"/>
      <c r="N19" s="82">
        <f>ROUND(($Q$19-$P$19-$L$19),0)</f>
        <v>59857</v>
      </c>
      <c r="O19" s="17"/>
      <c r="P19" s="87">
        <f t="shared" ref="P19:P128" si="8">ROUNDDOWN((I18*$I$6),0)</f>
        <v>49046</v>
      </c>
      <c r="Q19" s="87">
        <f>ROUND((-PMT($I$6,$I$7,$I$5,0,0)+L19),0)</f>
        <v>108903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5</v>
      </c>
      <c r="D20" s="75"/>
      <c r="E20" s="76">
        <f t="shared" si="4"/>
        <v>2</v>
      </c>
      <c r="F20" s="77">
        <f t="shared" si="5"/>
        <v>28</v>
      </c>
      <c r="G20" s="78" t="str">
        <f t="shared" si="2"/>
        <v>May</v>
      </c>
      <c r="H20" s="79">
        <f t="shared" si="6"/>
        <v>2036</v>
      </c>
      <c r="I20" s="80">
        <f t="shared" si="7"/>
        <v>9689250</v>
      </c>
      <c r="J20" s="10"/>
      <c r="K20" s="17"/>
      <c r="L20" s="81"/>
      <c r="M20" s="17"/>
      <c r="N20" s="82">
        <f t="shared" ref="N20:N128" si="9">IF((($Q$19-$L$19-P20)&lt;=(I19-L20)),ROUND(($Q$19-$L$19-P20),0),ROUND(I19,0))</f>
        <v>60156</v>
      </c>
      <c r="O20" s="17"/>
      <c r="P20" s="87">
        <f t="shared" si="8"/>
        <v>48747</v>
      </c>
      <c r="Q20" s="87">
        <f t="shared" ref="Q20:Q128" si="10">SUM(L20:P20)</f>
        <v>108903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6</v>
      </c>
      <c r="D21" s="75"/>
      <c r="E21" s="76">
        <f t="shared" si="4"/>
        <v>3</v>
      </c>
      <c r="F21" s="88">
        <f t="shared" si="5"/>
        <v>28</v>
      </c>
      <c r="G21" s="78" t="str">
        <f t="shared" si="2"/>
        <v>Jun</v>
      </c>
      <c r="H21" s="89">
        <f t="shared" si="6"/>
        <v>2036</v>
      </c>
      <c r="I21" s="80">
        <f t="shared" si="7"/>
        <v>9628793</v>
      </c>
      <c r="J21" s="10"/>
      <c r="K21" s="17"/>
      <c r="L21" s="81"/>
      <c r="M21" s="17"/>
      <c r="N21" s="82">
        <f t="shared" si="9"/>
        <v>60457</v>
      </c>
      <c r="O21" s="17"/>
      <c r="P21" s="87">
        <f t="shared" si="8"/>
        <v>48446</v>
      </c>
      <c r="Q21" s="87">
        <f t="shared" si="10"/>
        <v>108903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7</v>
      </c>
      <c r="D22" s="75"/>
      <c r="E22" s="76">
        <f t="shared" si="4"/>
        <v>4</v>
      </c>
      <c r="F22" s="77">
        <f t="shared" si="5"/>
        <v>28</v>
      </c>
      <c r="G22" s="78" t="str">
        <f t="shared" si="2"/>
        <v>Jul</v>
      </c>
      <c r="H22" s="79">
        <f t="shared" si="6"/>
        <v>2036</v>
      </c>
      <c r="I22" s="80">
        <f t="shared" si="7"/>
        <v>9568033</v>
      </c>
      <c r="J22" s="10"/>
      <c r="K22" s="17"/>
      <c r="L22" s="81"/>
      <c r="M22" s="17"/>
      <c r="N22" s="82">
        <f t="shared" si="9"/>
        <v>60760</v>
      </c>
      <c r="O22" s="17"/>
      <c r="P22" s="87">
        <f t="shared" si="8"/>
        <v>48143</v>
      </c>
      <c r="Q22" s="87">
        <f t="shared" si="10"/>
        <v>108903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8</v>
      </c>
      <c r="D23" s="75"/>
      <c r="E23" s="76">
        <f t="shared" si="4"/>
        <v>5</v>
      </c>
      <c r="F23" s="88">
        <f t="shared" si="5"/>
        <v>28</v>
      </c>
      <c r="G23" s="78" t="str">
        <f t="shared" si="2"/>
        <v>Ago</v>
      </c>
      <c r="H23" s="89">
        <f t="shared" si="6"/>
        <v>2036</v>
      </c>
      <c r="I23" s="80">
        <f t="shared" si="7"/>
        <v>9506970</v>
      </c>
      <c r="J23" s="10"/>
      <c r="K23" s="17"/>
      <c r="L23" s="81"/>
      <c r="M23" s="17"/>
      <c r="N23" s="82">
        <f t="shared" si="9"/>
        <v>61063</v>
      </c>
      <c r="O23" s="17"/>
      <c r="P23" s="87">
        <f t="shared" si="8"/>
        <v>47840</v>
      </c>
      <c r="Q23" s="87">
        <f t="shared" si="10"/>
        <v>108903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9</v>
      </c>
      <c r="D24" s="75"/>
      <c r="E24" s="76">
        <f t="shared" si="4"/>
        <v>6</v>
      </c>
      <c r="F24" s="77">
        <f t="shared" si="5"/>
        <v>28</v>
      </c>
      <c r="G24" s="78" t="str">
        <f t="shared" si="2"/>
        <v>Sep</v>
      </c>
      <c r="H24" s="79">
        <f t="shared" si="6"/>
        <v>2036</v>
      </c>
      <c r="I24" s="80">
        <f t="shared" si="7"/>
        <v>9445601</v>
      </c>
      <c r="J24" s="10"/>
      <c r="K24" s="17"/>
      <c r="L24" s="81"/>
      <c r="M24" s="17"/>
      <c r="N24" s="82">
        <f t="shared" si="9"/>
        <v>61369</v>
      </c>
      <c r="O24" s="17"/>
      <c r="P24" s="87">
        <f t="shared" si="8"/>
        <v>47534</v>
      </c>
      <c r="Q24" s="87">
        <f t="shared" si="10"/>
        <v>108903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10</v>
      </c>
      <c r="D25" s="75"/>
      <c r="E25" s="76">
        <f t="shared" si="4"/>
        <v>7</v>
      </c>
      <c r="F25" s="77">
        <f t="shared" si="5"/>
        <v>28</v>
      </c>
      <c r="G25" s="78" t="str">
        <f t="shared" si="2"/>
        <v>Oct</v>
      </c>
      <c r="H25" s="79">
        <f t="shared" si="6"/>
        <v>2036</v>
      </c>
      <c r="I25" s="80">
        <f t="shared" si="7"/>
        <v>9383926</v>
      </c>
      <c r="J25" s="10"/>
      <c r="K25" s="17"/>
      <c r="L25" s="81"/>
      <c r="M25" s="17"/>
      <c r="N25" s="82">
        <f t="shared" si="9"/>
        <v>61675</v>
      </c>
      <c r="O25" s="17"/>
      <c r="P25" s="87">
        <f t="shared" si="8"/>
        <v>47228</v>
      </c>
      <c r="Q25" s="87">
        <f t="shared" si="10"/>
        <v>108903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11</v>
      </c>
      <c r="D26" s="75"/>
      <c r="E26" s="76">
        <f t="shared" si="4"/>
        <v>8</v>
      </c>
      <c r="F26" s="85">
        <f t="shared" si="5"/>
        <v>28</v>
      </c>
      <c r="G26" s="78" t="str">
        <f t="shared" si="2"/>
        <v>Nov</v>
      </c>
      <c r="H26" s="86">
        <f t="shared" si="6"/>
        <v>2036</v>
      </c>
      <c r="I26" s="80">
        <f t="shared" si="7"/>
        <v>9321942</v>
      </c>
      <c r="J26" s="10"/>
      <c r="K26" s="17"/>
      <c r="L26" s="81"/>
      <c r="M26" s="17"/>
      <c r="N26" s="82">
        <f t="shared" si="9"/>
        <v>61984</v>
      </c>
      <c r="O26" s="17"/>
      <c r="P26" s="87">
        <f t="shared" si="8"/>
        <v>46919</v>
      </c>
      <c r="Q26" s="87">
        <f t="shared" si="10"/>
        <v>108903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12</v>
      </c>
      <c r="D27" s="75"/>
      <c r="E27" s="76">
        <f t="shared" si="4"/>
        <v>9</v>
      </c>
      <c r="F27" s="77">
        <f t="shared" si="5"/>
        <v>28</v>
      </c>
      <c r="G27" s="78" t="str">
        <f t="shared" si="2"/>
        <v>Dic</v>
      </c>
      <c r="H27" s="79">
        <f t="shared" si="6"/>
        <v>2036</v>
      </c>
      <c r="I27" s="80">
        <f t="shared" si="7"/>
        <v>9259648</v>
      </c>
      <c r="J27" s="10"/>
      <c r="K27" s="17"/>
      <c r="L27" s="81"/>
      <c r="M27" s="17"/>
      <c r="N27" s="82">
        <f t="shared" si="9"/>
        <v>62294</v>
      </c>
      <c r="O27" s="17"/>
      <c r="P27" s="87">
        <f t="shared" si="8"/>
        <v>46609</v>
      </c>
      <c r="Q27" s="87">
        <f t="shared" si="10"/>
        <v>108903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</v>
      </c>
      <c r="D28" s="75"/>
      <c r="E28" s="76">
        <f t="shared" si="4"/>
        <v>10</v>
      </c>
      <c r="F28" s="88">
        <f t="shared" si="5"/>
        <v>28</v>
      </c>
      <c r="G28" s="78" t="str">
        <f t="shared" si="2"/>
        <v>Ene</v>
      </c>
      <c r="H28" s="89">
        <f t="shared" si="6"/>
        <v>2037</v>
      </c>
      <c r="I28" s="80">
        <f t="shared" si="7"/>
        <v>9197043</v>
      </c>
      <c r="J28" s="10"/>
      <c r="K28" s="17"/>
      <c r="L28" s="81"/>
      <c r="M28" s="17"/>
      <c r="N28" s="82">
        <f t="shared" si="9"/>
        <v>62605</v>
      </c>
      <c r="O28" s="17"/>
      <c r="P28" s="87">
        <f t="shared" si="8"/>
        <v>46298</v>
      </c>
      <c r="Q28" s="87">
        <f t="shared" si="10"/>
        <v>108903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2</v>
      </c>
      <c r="D29" s="75"/>
      <c r="E29" s="76">
        <f t="shared" si="4"/>
        <v>11</v>
      </c>
      <c r="F29" s="77">
        <f t="shared" si="5"/>
        <v>28</v>
      </c>
      <c r="G29" s="78" t="str">
        <f t="shared" si="2"/>
        <v>Feb</v>
      </c>
      <c r="H29" s="79">
        <f t="shared" si="6"/>
        <v>2037</v>
      </c>
      <c r="I29" s="80">
        <f t="shared" si="7"/>
        <v>9134125</v>
      </c>
      <c r="J29" s="10"/>
      <c r="K29" s="17"/>
      <c r="L29" s="81"/>
      <c r="M29" s="17"/>
      <c r="N29" s="82">
        <f t="shared" si="9"/>
        <v>62918</v>
      </c>
      <c r="O29" s="17"/>
      <c r="P29" s="87">
        <f t="shared" si="8"/>
        <v>45985</v>
      </c>
      <c r="Q29" s="87">
        <f t="shared" si="10"/>
        <v>108903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3</v>
      </c>
      <c r="D30" s="75"/>
      <c r="E30" s="76">
        <f t="shared" si="4"/>
        <v>12</v>
      </c>
      <c r="F30" s="77">
        <f t="shared" si="5"/>
        <v>28</v>
      </c>
      <c r="G30" s="78" t="str">
        <f t="shared" si="2"/>
        <v>Mar</v>
      </c>
      <c r="H30" s="79">
        <f t="shared" si="6"/>
        <v>2037</v>
      </c>
      <c r="I30" s="80">
        <f t="shared" si="7"/>
        <v>9070892</v>
      </c>
      <c r="J30" s="10"/>
      <c r="K30" s="17"/>
      <c r="L30" s="81"/>
      <c r="M30" s="17"/>
      <c r="N30" s="82">
        <f t="shared" si="9"/>
        <v>63233</v>
      </c>
      <c r="O30" s="17"/>
      <c r="P30" s="87">
        <f t="shared" si="8"/>
        <v>45670</v>
      </c>
      <c r="Q30" s="87">
        <f t="shared" si="10"/>
        <v>108903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4</v>
      </c>
      <c r="D31" s="75"/>
      <c r="E31" s="76">
        <f t="shared" si="4"/>
        <v>13</v>
      </c>
      <c r="F31" s="77">
        <f t="shared" si="5"/>
        <v>28</v>
      </c>
      <c r="G31" s="78" t="str">
        <f t="shared" si="2"/>
        <v>Abr</v>
      </c>
      <c r="H31" s="79">
        <f t="shared" si="6"/>
        <v>2037</v>
      </c>
      <c r="I31" s="80">
        <f t="shared" si="7"/>
        <v>9007343</v>
      </c>
      <c r="J31" s="10"/>
      <c r="K31" s="17"/>
      <c r="L31" s="81"/>
      <c r="M31" s="17"/>
      <c r="N31" s="82">
        <f t="shared" si="9"/>
        <v>63549</v>
      </c>
      <c r="O31" s="17"/>
      <c r="P31" s="87">
        <f t="shared" si="8"/>
        <v>45354</v>
      </c>
      <c r="Q31" s="87">
        <f t="shared" si="10"/>
        <v>108903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5</v>
      </c>
      <c r="D32" s="75"/>
      <c r="E32" s="76">
        <f t="shared" si="4"/>
        <v>14</v>
      </c>
      <c r="F32" s="77">
        <f t="shared" si="5"/>
        <v>28</v>
      </c>
      <c r="G32" s="78" t="str">
        <f t="shared" si="2"/>
        <v>May</v>
      </c>
      <c r="H32" s="79">
        <f t="shared" si="6"/>
        <v>2037</v>
      </c>
      <c r="I32" s="80">
        <f t="shared" si="7"/>
        <v>8943476</v>
      </c>
      <c r="J32" s="10"/>
      <c r="K32" s="17"/>
      <c r="L32" s="81"/>
      <c r="M32" s="17"/>
      <c r="N32" s="82">
        <f t="shared" si="9"/>
        <v>63867</v>
      </c>
      <c r="O32" s="17"/>
      <c r="P32" s="87">
        <f t="shared" si="8"/>
        <v>45036</v>
      </c>
      <c r="Q32" s="87">
        <f t="shared" si="10"/>
        <v>108903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6</v>
      </c>
      <c r="D33" s="75"/>
      <c r="E33" s="76">
        <f t="shared" si="4"/>
        <v>15</v>
      </c>
      <c r="F33" s="77">
        <f t="shared" si="5"/>
        <v>28</v>
      </c>
      <c r="G33" s="78" t="str">
        <f t="shared" si="2"/>
        <v>Jun</v>
      </c>
      <c r="H33" s="79">
        <f t="shared" si="6"/>
        <v>2037</v>
      </c>
      <c r="I33" s="80">
        <f t="shared" si="7"/>
        <v>8879290</v>
      </c>
      <c r="J33" s="10"/>
      <c r="K33" s="17"/>
      <c r="L33" s="81"/>
      <c r="M33" s="17"/>
      <c r="N33" s="82">
        <f t="shared" si="9"/>
        <v>64186</v>
      </c>
      <c r="O33" s="17"/>
      <c r="P33" s="87">
        <f t="shared" si="8"/>
        <v>44717</v>
      </c>
      <c r="Q33" s="87">
        <f t="shared" si="10"/>
        <v>108903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7</v>
      </c>
      <c r="D34" s="75"/>
      <c r="E34" s="76">
        <f t="shared" si="4"/>
        <v>16</v>
      </c>
      <c r="F34" s="77">
        <f t="shared" si="5"/>
        <v>28</v>
      </c>
      <c r="G34" s="78" t="str">
        <f t="shared" si="2"/>
        <v>Jul</v>
      </c>
      <c r="H34" s="79">
        <f t="shared" si="6"/>
        <v>2037</v>
      </c>
      <c r="I34" s="80">
        <f t="shared" si="7"/>
        <v>8814783</v>
      </c>
      <c r="J34" s="10"/>
      <c r="K34" s="17"/>
      <c r="L34" s="81"/>
      <c r="M34" s="17"/>
      <c r="N34" s="82">
        <f t="shared" si="9"/>
        <v>64507</v>
      </c>
      <c r="O34" s="17"/>
      <c r="P34" s="87">
        <f t="shared" si="8"/>
        <v>44396</v>
      </c>
      <c r="Q34" s="87">
        <f t="shared" si="10"/>
        <v>108903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8</v>
      </c>
      <c r="D35" s="75"/>
      <c r="E35" s="76">
        <f t="shared" si="4"/>
        <v>17</v>
      </c>
      <c r="F35" s="77">
        <f t="shared" si="5"/>
        <v>28</v>
      </c>
      <c r="G35" s="78" t="str">
        <f t="shared" si="2"/>
        <v>Ago</v>
      </c>
      <c r="H35" s="79">
        <f t="shared" si="6"/>
        <v>2037</v>
      </c>
      <c r="I35" s="80">
        <f t="shared" si="7"/>
        <v>8749953</v>
      </c>
      <c r="J35" s="10"/>
      <c r="K35" s="17"/>
      <c r="L35" s="81"/>
      <c r="M35" s="17"/>
      <c r="N35" s="82">
        <f t="shared" si="9"/>
        <v>64830</v>
      </c>
      <c r="O35" s="17"/>
      <c r="P35" s="87">
        <f t="shared" si="8"/>
        <v>44073</v>
      </c>
      <c r="Q35" s="87">
        <f t="shared" si="10"/>
        <v>108903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9</v>
      </c>
      <c r="D36" s="75"/>
      <c r="E36" s="76">
        <f t="shared" si="4"/>
        <v>18</v>
      </c>
      <c r="F36" s="77">
        <f t="shared" si="5"/>
        <v>28</v>
      </c>
      <c r="G36" s="78" t="str">
        <f t="shared" si="2"/>
        <v>Sep</v>
      </c>
      <c r="H36" s="79">
        <f t="shared" si="6"/>
        <v>2037</v>
      </c>
      <c r="I36" s="80">
        <f t="shared" si="7"/>
        <v>8684799</v>
      </c>
      <c r="J36" s="10"/>
      <c r="K36" s="17"/>
      <c r="L36" s="81"/>
      <c r="M36" s="17"/>
      <c r="N36" s="82">
        <f t="shared" si="9"/>
        <v>65154</v>
      </c>
      <c r="O36" s="17"/>
      <c r="P36" s="87">
        <f t="shared" si="8"/>
        <v>43749</v>
      </c>
      <c r="Q36" s="87">
        <f t="shared" si="10"/>
        <v>108903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10</v>
      </c>
      <c r="D37" s="75"/>
      <c r="E37" s="76">
        <f t="shared" si="4"/>
        <v>19</v>
      </c>
      <c r="F37" s="77">
        <f t="shared" si="5"/>
        <v>28</v>
      </c>
      <c r="G37" s="78" t="str">
        <f t="shared" si="2"/>
        <v>Oct</v>
      </c>
      <c r="H37" s="79">
        <f t="shared" si="6"/>
        <v>2037</v>
      </c>
      <c r="I37" s="80">
        <f t="shared" si="7"/>
        <v>8619319</v>
      </c>
      <c r="J37" s="10"/>
      <c r="K37" s="17"/>
      <c r="L37" s="81"/>
      <c r="M37" s="17"/>
      <c r="N37" s="82">
        <f t="shared" si="9"/>
        <v>65480</v>
      </c>
      <c r="O37" s="17"/>
      <c r="P37" s="87">
        <f t="shared" si="8"/>
        <v>43423</v>
      </c>
      <c r="Q37" s="87">
        <f t="shared" si="10"/>
        <v>108903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11</v>
      </c>
      <c r="D38" s="75"/>
      <c r="E38" s="76">
        <f t="shared" si="4"/>
        <v>20</v>
      </c>
      <c r="F38" s="77">
        <f t="shared" si="5"/>
        <v>28</v>
      </c>
      <c r="G38" s="78" t="str">
        <f t="shared" si="2"/>
        <v>Nov</v>
      </c>
      <c r="H38" s="79">
        <f t="shared" si="6"/>
        <v>2037</v>
      </c>
      <c r="I38" s="80">
        <f t="shared" si="7"/>
        <v>8553512</v>
      </c>
      <c r="J38" s="10"/>
      <c r="K38" s="17"/>
      <c r="L38" s="81"/>
      <c r="M38" s="17"/>
      <c r="N38" s="82">
        <f t="shared" si="9"/>
        <v>65807</v>
      </c>
      <c r="O38" s="17"/>
      <c r="P38" s="87">
        <f t="shared" si="8"/>
        <v>43096</v>
      </c>
      <c r="Q38" s="87">
        <f t="shared" si="10"/>
        <v>108903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12</v>
      </c>
      <c r="D39" s="75"/>
      <c r="E39" s="76">
        <f t="shared" si="4"/>
        <v>21</v>
      </c>
      <c r="F39" s="77">
        <f t="shared" si="5"/>
        <v>28</v>
      </c>
      <c r="G39" s="78" t="str">
        <f t="shared" si="2"/>
        <v>Dic</v>
      </c>
      <c r="H39" s="79">
        <f t="shared" si="6"/>
        <v>2037</v>
      </c>
      <c r="I39" s="80">
        <f t="shared" si="7"/>
        <v>8487376</v>
      </c>
      <c r="J39" s="10"/>
      <c r="K39" s="17"/>
      <c r="L39" s="81"/>
      <c r="M39" s="17"/>
      <c r="N39" s="82">
        <f t="shared" si="9"/>
        <v>66136</v>
      </c>
      <c r="O39" s="17"/>
      <c r="P39" s="87">
        <f t="shared" si="8"/>
        <v>42767</v>
      </c>
      <c r="Q39" s="87">
        <f t="shared" si="10"/>
        <v>108903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</v>
      </c>
      <c r="D40" s="75"/>
      <c r="E40" s="76">
        <f t="shared" si="4"/>
        <v>22</v>
      </c>
      <c r="F40" s="88">
        <f t="shared" si="5"/>
        <v>28</v>
      </c>
      <c r="G40" s="78" t="str">
        <f t="shared" si="2"/>
        <v>Ene</v>
      </c>
      <c r="H40" s="89">
        <f t="shared" si="6"/>
        <v>2038</v>
      </c>
      <c r="I40" s="80">
        <f t="shared" si="7"/>
        <v>8420909</v>
      </c>
      <c r="J40" s="10"/>
      <c r="K40" s="17"/>
      <c r="L40" s="81"/>
      <c r="M40" s="17"/>
      <c r="N40" s="82">
        <f t="shared" si="9"/>
        <v>66467</v>
      </c>
      <c r="O40" s="17"/>
      <c r="P40" s="87">
        <f t="shared" si="8"/>
        <v>42436</v>
      </c>
      <c r="Q40" s="87">
        <f t="shared" si="10"/>
        <v>108903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2</v>
      </c>
      <c r="D41" s="75"/>
      <c r="E41" s="76">
        <f t="shared" si="4"/>
        <v>23</v>
      </c>
      <c r="F41" s="77">
        <f t="shared" si="5"/>
        <v>28</v>
      </c>
      <c r="G41" s="78" t="str">
        <f t="shared" si="2"/>
        <v>Feb</v>
      </c>
      <c r="H41" s="79">
        <f t="shared" si="6"/>
        <v>2038</v>
      </c>
      <c r="I41" s="80">
        <f t="shared" si="7"/>
        <v>8354110</v>
      </c>
      <c r="J41" s="10"/>
      <c r="K41" s="17"/>
      <c r="L41" s="81"/>
      <c r="M41" s="17"/>
      <c r="N41" s="82">
        <f t="shared" si="9"/>
        <v>66799</v>
      </c>
      <c r="O41" s="17"/>
      <c r="P41" s="87">
        <f t="shared" si="8"/>
        <v>42104</v>
      </c>
      <c r="Q41" s="87">
        <f t="shared" si="10"/>
        <v>108903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3</v>
      </c>
      <c r="D42" s="75"/>
      <c r="E42" s="76">
        <f t="shared" si="4"/>
        <v>24</v>
      </c>
      <c r="F42" s="77">
        <f t="shared" si="5"/>
        <v>28</v>
      </c>
      <c r="G42" s="78" t="str">
        <f t="shared" si="2"/>
        <v>Mar</v>
      </c>
      <c r="H42" s="79">
        <f t="shared" si="6"/>
        <v>2038</v>
      </c>
      <c r="I42" s="80">
        <f t="shared" si="7"/>
        <v>8286977</v>
      </c>
      <c r="J42" s="10"/>
      <c r="K42" s="17"/>
      <c r="L42" s="81"/>
      <c r="M42" s="17"/>
      <c r="N42" s="82">
        <f t="shared" si="9"/>
        <v>67133</v>
      </c>
      <c r="O42" s="17"/>
      <c r="P42" s="87">
        <f t="shared" si="8"/>
        <v>41770</v>
      </c>
      <c r="Q42" s="87">
        <f t="shared" si="10"/>
        <v>108903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4</v>
      </c>
      <c r="D43" s="75"/>
      <c r="E43" s="76">
        <f t="shared" si="4"/>
        <v>25</v>
      </c>
      <c r="F43" s="77">
        <f t="shared" si="5"/>
        <v>28</v>
      </c>
      <c r="G43" s="78" t="str">
        <f t="shared" si="2"/>
        <v>Abr</v>
      </c>
      <c r="H43" s="79">
        <f t="shared" si="6"/>
        <v>2038</v>
      </c>
      <c r="I43" s="80">
        <f t="shared" si="7"/>
        <v>8219508</v>
      </c>
      <c r="J43" s="10"/>
      <c r="K43" s="17"/>
      <c r="L43" s="81"/>
      <c r="M43" s="17"/>
      <c r="N43" s="82">
        <f t="shared" si="9"/>
        <v>67469</v>
      </c>
      <c r="O43" s="17"/>
      <c r="P43" s="87">
        <f t="shared" si="8"/>
        <v>41434</v>
      </c>
      <c r="Q43" s="87">
        <f t="shared" si="10"/>
        <v>108903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5</v>
      </c>
      <c r="D44" s="75"/>
      <c r="E44" s="76">
        <f t="shared" si="4"/>
        <v>26</v>
      </c>
      <c r="F44" s="77">
        <f t="shared" si="5"/>
        <v>28</v>
      </c>
      <c r="G44" s="78" t="str">
        <f t="shared" si="2"/>
        <v>May</v>
      </c>
      <c r="H44" s="79">
        <f t="shared" si="6"/>
        <v>2038</v>
      </c>
      <c r="I44" s="80">
        <f t="shared" si="7"/>
        <v>8151702</v>
      </c>
      <c r="J44" s="10"/>
      <c r="K44" s="17"/>
      <c r="L44" s="81"/>
      <c r="M44" s="17"/>
      <c r="N44" s="82">
        <f t="shared" si="9"/>
        <v>67806</v>
      </c>
      <c r="O44" s="17"/>
      <c r="P44" s="87">
        <f t="shared" si="8"/>
        <v>41097</v>
      </c>
      <c r="Q44" s="87">
        <f t="shared" si="10"/>
        <v>108903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6</v>
      </c>
      <c r="D45" s="75"/>
      <c r="E45" s="76">
        <f t="shared" si="4"/>
        <v>27</v>
      </c>
      <c r="F45" s="77">
        <f t="shared" si="5"/>
        <v>28</v>
      </c>
      <c r="G45" s="78" t="str">
        <f t="shared" si="2"/>
        <v>Jun</v>
      </c>
      <c r="H45" s="79">
        <f t="shared" si="6"/>
        <v>2038</v>
      </c>
      <c r="I45" s="80">
        <f t="shared" si="7"/>
        <v>8083557</v>
      </c>
      <c r="J45" s="10"/>
      <c r="K45" s="17"/>
      <c r="L45" s="81"/>
      <c r="M45" s="17"/>
      <c r="N45" s="82">
        <f t="shared" si="9"/>
        <v>68145</v>
      </c>
      <c r="O45" s="17"/>
      <c r="P45" s="87">
        <f t="shared" si="8"/>
        <v>40758</v>
      </c>
      <c r="Q45" s="87">
        <f t="shared" si="10"/>
        <v>108903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7</v>
      </c>
      <c r="D46" s="75"/>
      <c r="E46" s="76">
        <f t="shared" si="4"/>
        <v>28</v>
      </c>
      <c r="F46" s="77">
        <f t="shared" si="5"/>
        <v>28</v>
      </c>
      <c r="G46" s="78" t="str">
        <f t="shared" si="2"/>
        <v>Jul</v>
      </c>
      <c r="H46" s="79">
        <f t="shared" si="6"/>
        <v>2038</v>
      </c>
      <c r="I46" s="80">
        <f t="shared" si="7"/>
        <v>8015071</v>
      </c>
      <c r="J46" s="10"/>
      <c r="K46" s="17"/>
      <c r="L46" s="81"/>
      <c r="M46" s="17"/>
      <c r="N46" s="82">
        <f t="shared" si="9"/>
        <v>68486</v>
      </c>
      <c r="O46" s="17"/>
      <c r="P46" s="87">
        <f t="shared" si="8"/>
        <v>40417</v>
      </c>
      <c r="Q46" s="87">
        <f t="shared" si="10"/>
        <v>108903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8</v>
      </c>
      <c r="D47" s="75"/>
      <c r="E47" s="76">
        <f t="shared" si="4"/>
        <v>29</v>
      </c>
      <c r="F47" s="77">
        <f t="shared" si="5"/>
        <v>28</v>
      </c>
      <c r="G47" s="78" t="str">
        <f t="shared" si="2"/>
        <v>Ago</v>
      </c>
      <c r="H47" s="79">
        <f t="shared" si="6"/>
        <v>2038</v>
      </c>
      <c r="I47" s="80">
        <f t="shared" si="7"/>
        <v>7946243</v>
      </c>
      <c r="J47" s="10"/>
      <c r="K47" s="17"/>
      <c r="L47" s="81"/>
      <c r="M47" s="17"/>
      <c r="N47" s="82">
        <f t="shared" si="9"/>
        <v>68828</v>
      </c>
      <c r="O47" s="17"/>
      <c r="P47" s="87">
        <f t="shared" si="8"/>
        <v>40075</v>
      </c>
      <c r="Q47" s="87">
        <f t="shared" si="10"/>
        <v>108903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9</v>
      </c>
      <c r="D48" s="75"/>
      <c r="E48" s="76">
        <f t="shared" si="4"/>
        <v>30</v>
      </c>
      <c r="F48" s="77">
        <f t="shared" si="5"/>
        <v>28</v>
      </c>
      <c r="G48" s="78" t="str">
        <f t="shared" si="2"/>
        <v>Sep</v>
      </c>
      <c r="H48" s="79">
        <f t="shared" si="6"/>
        <v>2038</v>
      </c>
      <c r="I48" s="80">
        <f t="shared" si="7"/>
        <v>7877071</v>
      </c>
      <c r="J48" s="10"/>
      <c r="K48" s="17"/>
      <c r="L48" s="81"/>
      <c r="M48" s="17"/>
      <c r="N48" s="82">
        <f t="shared" si="9"/>
        <v>69172</v>
      </c>
      <c r="O48" s="17"/>
      <c r="P48" s="87">
        <f t="shared" si="8"/>
        <v>39731</v>
      </c>
      <c r="Q48" s="87">
        <f t="shared" si="10"/>
        <v>108903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10</v>
      </c>
      <c r="D49" s="75"/>
      <c r="E49" s="76">
        <f t="shared" si="4"/>
        <v>31</v>
      </c>
      <c r="F49" s="77">
        <f t="shared" si="5"/>
        <v>28</v>
      </c>
      <c r="G49" s="78" t="str">
        <f t="shared" si="2"/>
        <v>Oct</v>
      </c>
      <c r="H49" s="79">
        <f t="shared" si="6"/>
        <v>2038</v>
      </c>
      <c r="I49" s="80">
        <f t="shared" si="7"/>
        <v>7807553</v>
      </c>
      <c r="J49" s="10"/>
      <c r="K49" s="17"/>
      <c r="L49" s="81"/>
      <c r="M49" s="17"/>
      <c r="N49" s="82">
        <f t="shared" si="9"/>
        <v>69518</v>
      </c>
      <c r="O49" s="17"/>
      <c r="P49" s="87">
        <f t="shared" si="8"/>
        <v>39385</v>
      </c>
      <c r="Q49" s="87">
        <f t="shared" si="10"/>
        <v>108903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11</v>
      </c>
      <c r="D50" s="75"/>
      <c r="E50" s="76">
        <f t="shared" si="4"/>
        <v>32</v>
      </c>
      <c r="F50" s="77">
        <f t="shared" si="5"/>
        <v>28</v>
      </c>
      <c r="G50" s="78" t="str">
        <f t="shared" si="2"/>
        <v>Nov</v>
      </c>
      <c r="H50" s="79">
        <f t="shared" si="6"/>
        <v>2038</v>
      </c>
      <c r="I50" s="80">
        <f t="shared" si="7"/>
        <v>7737687</v>
      </c>
      <c r="J50" s="10"/>
      <c r="K50" s="17"/>
      <c r="L50" s="81"/>
      <c r="M50" s="17"/>
      <c r="N50" s="82">
        <f t="shared" si="9"/>
        <v>69866</v>
      </c>
      <c r="O50" s="17"/>
      <c r="P50" s="87">
        <f t="shared" si="8"/>
        <v>39037</v>
      </c>
      <c r="Q50" s="87">
        <f t="shared" si="10"/>
        <v>108903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12</v>
      </c>
      <c r="D51" s="75"/>
      <c r="E51" s="76">
        <f t="shared" si="4"/>
        <v>33</v>
      </c>
      <c r="F51" s="77">
        <f t="shared" si="5"/>
        <v>28</v>
      </c>
      <c r="G51" s="78" t="str">
        <f t="shared" si="2"/>
        <v>Dic</v>
      </c>
      <c r="H51" s="79">
        <f t="shared" si="6"/>
        <v>2038</v>
      </c>
      <c r="I51" s="80">
        <f t="shared" si="7"/>
        <v>7667472</v>
      </c>
      <c r="J51" s="10"/>
      <c r="K51" s="17"/>
      <c r="L51" s="81"/>
      <c r="M51" s="17"/>
      <c r="N51" s="82">
        <f t="shared" si="9"/>
        <v>70215</v>
      </c>
      <c r="O51" s="17"/>
      <c r="P51" s="87">
        <f t="shared" si="8"/>
        <v>38688</v>
      </c>
      <c r="Q51" s="87">
        <f t="shared" si="10"/>
        <v>108903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</v>
      </c>
      <c r="D52" s="75"/>
      <c r="E52" s="76">
        <f t="shared" si="4"/>
        <v>34</v>
      </c>
      <c r="F52" s="88">
        <f t="shared" si="5"/>
        <v>28</v>
      </c>
      <c r="G52" s="78" t="str">
        <f t="shared" si="2"/>
        <v>Ene</v>
      </c>
      <c r="H52" s="89">
        <f t="shared" si="6"/>
        <v>2039</v>
      </c>
      <c r="I52" s="80">
        <f t="shared" si="7"/>
        <v>7596906</v>
      </c>
      <c r="J52" s="10"/>
      <c r="K52" s="17"/>
      <c r="L52" s="81"/>
      <c r="M52" s="17"/>
      <c r="N52" s="82">
        <f t="shared" si="9"/>
        <v>70566</v>
      </c>
      <c r="O52" s="17"/>
      <c r="P52" s="87">
        <f t="shared" si="8"/>
        <v>38337</v>
      </c>
      <c r="Q52" s="87">
        <f t="shared" si="10"/>
        <v>108903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2</v>
      </c>
      <c r="D53" s="75"/>
      <c r="E53" s="76">
        <f t="shared" si="4"/>
        <v>35</v>
      </c>
      <c r="F53" s="77">
        <f t="shared" si="5"/>
        <v>28</v>
      </c>
      <c r="G53" s="78" t="str">
        <f t="shared" si="2"/>
        <v>Feb</v>
      </c>
      <c r="H53" s="79">
        <f t="shared" si="6"/>
        <v>2039</v>
      </c>
      <c r="I53" s="80">
        <f t="shared" si="7"/>
        <v>7525987</v>
      </c>
      <c r="J53" s="10"/>
      <c r="K53" s="17"/>
      <c r="L53" s="81"/>
      <c r="M53" s="17"/>
      <c r="N53" s="82">
        <f t="shared" si="9"/>
        <v>70919</v>
      </c>
      <c r="O53" s="17"/>
      <c r="P53" s="87">
        <f t="shared" si="8"/>
        <v>37984</v>
      </c>
      <c r="Q53" s="87">
        <f t="shared" si="10"/>
        <v>108903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3</v>
      </c>
      <c r="D54" s="75"/>
      <c r="E54" s="76">
        <f t="shared" si="4"/>
        <v>36</v>
      </c>
      <c r="F54" s="77">
        <f t="shared" si="5"/>
        <v>28</v>
      </c>
      <c r="G54" s="78" t="str">
        <f t="shared" si="2"/>
        <v>Mar</v>
      </c>
      <c r="H54" s="79">
        <f t="shared" si="6"/>
        <v>2039</v>
      </c>
      <c r="I54" s="80">
        <f t="shared" si="7"/>
        <v>7454713</v>
      </c>
      <c r="J54" s="10"/>
      <c r="K54" s="17"/>
      <c r="L54" s="81"/>
      <c r="M54" s="17"/>
      <c r="N54" s="82">
        <f t="shared" si="9"/>
        <v>71274</v>
      </c>
      <c r="O54" s="17"/>
      <c r="P54" s="87">
        <f t="shared" si="8"/>
        <v>37629</v>
      </c>
      <c r="Q54" s="87">
        <f t="shared" si="10"/>
        <v>108903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4</v>
      </c>
      <c r="D55" s="75"/>
      <c r="E55" s="76">
        <f t="shared" si="4"/>
        <v>37</v>
      </c>
      <c r="F55" s="77">
        <f t="shared" si="5"/>
        <v>28</v>
      </c>
      <c r="G55" s="78" t="str">
        <f t="shared" si="2"/>
        <v>Abr</v>
      </c>
      <c r="H55" s="79">
        <f t="shared" si="6"/>
        <v>2039</v>
      </c>
      <c r="I55" s="80">
        <f t="shared" si="7"/>
        <v>7383083</v>
      </c>
      <c r="J55" s="10"/>
      <c r="K55" s="17"/>
      <c r="L55" s="81"/>
      <c r="M55" s="17"/>
      <c r="N55" s="82">
        <f t="shared" si="9"/>
        <v>71630</v>
      </c>
      <c r="O55" s="17"/>
      <c r="P55" s="87">
        <f t="shared" si="8"/>
        <v>37273</v>
      </c>
      <c r="Q55" s="87">
        <f t="shared" si="10"/>
        <v>108903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5</v>
      </c>
      <c r="D56" s="75"/>
      <c r="E56" s="76">
        <f t="shared" si="4"/>
        <v>38</v>
      </c>
      <c r="F56" s="77">
        <f t="shared" si="5"/>
        <v>28</v>
      </c>
      <c r="G56" s="78" t="str">
        <f t="shared" si="2"/>
        <v>May</v>
      </c>
      <c r="H56" s="79">
        <f t="shared" si="6"/>
        <v>2039</v>
      </c>
      <c r="I56" s="80">
        <f t="shared" si="7"/>
        <v>7311095</v>
      </c>
      <c r="J56" s="10"/>
      <c r="K56" s="17"/>
      <c r="L56" s="81"/>
      <c r="M56" s="17"/>
      <c r="N56" s="82">
        <f t="shared" si="9"/>
        <v>71988</v>
      </c>
      <c r="O56" s="17"/>
      <c r="P56" s="87">
        <f t="shared" si="8"/>
        <v>36915</v>
      </c>
      <c r="Q56" s="87">
        <f t="shared" si="10"/>
        <v>108903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6</v>
      </c>
      <c r="D57" s="75"/>
      <c r="E57" s="76">
        <f t="shared" si="4"/>
        <v>39</v>
      </c>
      <c r="F57" s="77">
        <f t="shared" si="5"/>
        <v>28</v>
      </c>
      <c r="G57" s="78" t="str">
        <f t="shared" si="2"/>
        <v>Jun</v>
      </c>
      <c r="H57" s="79">
        <f t="shared" si="6"/>
        <v>2039</v>
      </c>
      <c r="I57" s="80">
        <f t="shared" si="7"/>
        <v>7238747</v>
      </c>
      <c r="J57" s="10"/>
      <c r="K57" s="17"/>
      <c r="L57" s="81"/>
      <c r="M57" s="17"/>
      <c r="N57" s="82">
        <f t="shared" si="9"/>
        <v>72348</v>
      </c>
      <c r="O57" s="17"/>
      <c r="P57" s="87">
        <f t="shared" si="8"/>
        <v>36555</v>
      </c>
      <c r="Q57" s="87">
        <f t="shared" si="10"/>
        <v>108903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7</v>
      </c>
      <c r="D58" s="75"/>
      <c r="E58" s="76">
        <f t="shared" si="4"/>
        <v>40</v>
      </c>
      <c r="F58" s="77">
        <f t="shared" si="5"/>
        <v>28</v>
      </c>
      <c r="G58" s="78" t="str">
        <f t="shared" si="2"/>
        <v>Jul</v>
      </c>
      <c r="H58" s="79">
        <f t="shared" si="6"/>
        <v>2039</v>
      </c>
      <c r="I58" s="80">
        <f t="shared" si="7"/>
        <v>7166037</v>
      </c>
      <c r="J58" s="10"/>
      <c r="K58" s="17"/>
      <c r="L58" s="81"/>
      <c r="M58" s="17"/>
      <c r="N58" s="82">
        <f t="shared" si="9"/>
        <v>72710</v>
      </c>
      <c r="O58" s="17"/>
      <c r="P58" s="87">
        <f t="shared" si="8"/>
        <v>36193</v>
      </c>
      <c r="Q58" s="87">
        <f t="shared" si="10"/>
        <v>108903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8</v>
      </c>
      <c r="D59" s="75"/>
      <c r="E59" s="76">
        <f t="shared" si="4"/>
        <v>41</v>
      </c>
      <c r="F59" s="77">
        <f t="shared" si="5"/>
        <v>28</v>
      </c>
      <c r="G59" s="78" t="str">
        <f t="shared" si="2"/>
        <v>Ago</v>
      </c>
      <c r="H59" s="79">
        <f t="shared" si="6"/>
        <v>2039</v>
      </c>
      <c r="I59" s="80">
        <f t="shared" si="7"/>
        <v>7092964</v>
      </c>
      <c r="J59" s="10"/>
      <c r="K59" s="17"/>
      <c r="L59" s="81"/>
      <c r="M59" s="17"/>
      <c r="N59" s="82">
        <f t="shared" si="9"/>
        <v>73073</v>
      </c>
      <c r="O59" s="17"/>
      <c r="P59" s="87">
        <f t="shared" si="8"/>
        <v>35830</v>
      </c>
      <c r="Q59" s="87">
        <f t="shared" si="10"/>
        <v>108903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9</v>
      </c>
      <c r="D60" s="75"/>
      <c r="E60" s="76">
        <f t="shared" si="4"/>
        <v>42</v>
      </c>
      <c r="F60" s="77">
        <f t="shared" si="5"/>
        <v>28</v>
      </c>
      <c r="G60" s="78" t="str">
        <f t="shared" si="2"/>
        <v>Sep</v>
      </c>
      <c r="H60" s="79">
        <f t="shared" si="6"/>
        <v>2039</v>
      </c>
      <c r="I60" s="80">
        <f t="shared" si="7"/>
        <v>7019525</v>
      </c>
      <c r="J60" s="10"/>
      <c r="K60" s="17"/>
      <c r="L60" s="81"/>
      <c r="M60" s="17"/>
      <c r="N60" s="82">
        <f t="shared" si="9"/>
        <v>73439</v>
      </c>
      <c r="O60" s="17"/>
      <c r="P60" s="87">
        <f t="shared" si="8"/>
        <v>35464</v>
      </c>
      <c r="Q60" s="87">
        <f t="shared" si="10"/>
        <v>108903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10</v>
      </c>
      <c r="D61" s="75"/>
      <c r="E61" s="76">
        <f t="shared" si="4"/>
        <v>43</v>
      </c>
      <c r="F61" s="77">
        <f t="shared" si="5"/>
        <v>28</v>
      </c>
      <c r="G61" s="78" t="str">
        <f t="shared" si="2"/>
        <v>Oct</v>
      </c>
      <c r="H61" s="79">
        <f t="shared" si="6"/>
        <v>2039</v>
      </c>
      <c r="I61" s="80">
        <f t="shared" si="7"/>
        <v>6945719</v>
      </c>
      <c r="J61" s="10"/>
      <c r="K61" s="17"/>
      <c r="L61" s="81"/>
      <c r="M61" s="17"/>
      <c r="N61" s="82">
        <f t="shared" si="9"/>
        <v>73806</v>
      </c>
      <c r="O61" s="17"/>
      <c r="P61" s="87">
        <f t="shared" si="8"/>
        <v>35097</v>
      </c>
      <c r="Q61" s="87">
        <f t="shared" si="10"/>
        <v>108903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11</v>
      </c>
      <c r="D62" s="75"/>
      <c r="E62" s="76">
        <f t="shared" si="4"/>
        <v>44</v>
      </c>
      <c r="F62" s="77">
        <f t="shared" si="5"/>
        <v>28</v>
      </c>
      <c r="G62" s="78" t="str">
        <f t="shared" si="2"/>
        <v>Nov</v>
      </c>
      <c r="H62" s="79">
        <f t="shared" si="6"/>
        <v>2039</v>
      </c>
      <c r="I62" s="80">
        <f t="shared" si="7"/>
        <v>6871544</v>
      </c>
      <c r="J62" s="10"/>
      <c r="K62" s="17"/>
      <c r="L62" s="81"/>
      <c r="M62" s="17"/>
      <c r="N62" s="82">
        <f t="shared" si="9"/>
        <v>74175</v>
      </c>
      <c r="O62" s="17"/>
      <c r="P62" s="87">
        <f t="shared" si="8"/>
        <v>34728</v>
      </c>
      <c r="Q62" s="87">
        <f t="shared" si="10"/>
        <v>108903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12</v>
      </c>
      <c r="D63" s="75"/>
      <c r="E63" s="76">
        <f t="shared" si="4"/>
        <v>45</v>
      </c>
      <c r="F63" s="77">
        <f t="shared" si="5"/>
        <v>28</v>
      </c>
      <c r="G63" s="78" t="str">
        <f t="shared" si="2"/>
        <v>Dic</v>
      </c>
      <c r="H63" s="79">
        <f t="shared" si="6"/>
        <v>2039</v>
      </c>
      <c r="I63" s="80">
        <f t="shared" si="7"/>
        <v>6796998</v>
      </c>
      <c r="J63" s="10"/>
      <c r="K63" s="17"/>
      <c r="L63" s="81"/>
      <c r="M63" s="17"/>
      <c r="N63" s="82">
        <f t="shared" si="9"/>
        <v>74546</v>
      </c>
      <c r="O63" s="17"/>
      <c r="P63" s="87">
        <f t="shared" si="8"/>
        <v>34357</v>
      </c>
      <c r="Q63" s="87">
        <f t="shared" si="10"/>
        <v>108903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</v>
      </c>
      <c r="D64" s="75"/>
      <c r="E64" s="76">
        <f t="shared" si="4"/>
        <v>46</v>
      </c>
      <c r="F64" s="88">
        <f t="shared" si="5"/>
        <v>28</v>
      </c>
      <c r="G64" s="78" t="str">
        <f t="shared" si="2"/>
        <v>Ene</v>
      </c>
      <c r="H64" s="89">
        <f t="shared" si="6"/>
        <v>2040</v>
      </c>
      <c r="I64" s="80">
        <f t="shared" si="7"/>
        <v>6722079</v>
      </c>
      <c r="J64" s="10"/>
      <c r="K64" s="17"/>
      <c r="L64" s="81"/>
      <c r="M64" s="17"/>
      <c r="N64" s="82">
        <f t="shared" si="9"/>
        <v>74919</v>
      </c>
      <c r="O64" s="17"/>
      <c r="P64" s="87">
        <f t="shared" si="8"/>
        <v>33984</v>
      </c>
      <c r="Q64" s="87">
        <f t="shared" si="10"/>
        <v>108903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2</v>
      </c>
      <c r="D65" s="75"/>
      <c r="E65" s="76">
        <f t="shared" si="4"/>
        <v>47</v>
      </c>
      <c r="F65" s="77">
        <f t="shared" si="5"/>
        <v>28</v>
      </c>
      <c r="G65" s="78" t="str">
        <f t="shared" si="2"/>
        <v>Feb</v>
      </c>
      <c r="H65" s="79">
        <f t="shared" si="6"/>
        <v>2040</v>
      </c>
      <c r="I65" s="80">
        <f t="shared" si="7"/>
        <v>6646786</v>
      </c>
      <c r="J65" s="10"/>
      <c r="K65" s="17"/>
      <c r="L65" s="81"/>
      <c r="M65" s="17"/>
      <c r="N65" s="82">
        <f t="shared" si="9"/>
        <v>75293</v>
      </c>
      <c r="O65" s="17"/>
      <c r="P65" s="87">
        <f t="shared" si="8"/>
        <v>33610</v>
      </c>
      <c r="Q65" s="87">
        <f t="shared" si="10"/>
        <v>108903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3</v>
      </c>
      <c r="D66" s="75"/>
      <c r="E66" s="76">
        <f t="shared" si="4"/>
        <v>48</v>
      </c>
      <c r="F66" s="77">
        <f t="shared" si="5"/>
        <v>28</v>
      </c>
      <c r="G66" s="78" t="str">
        <f t="shared" si="2"/>
        <v>Mar</v>
      </c>
      <c r="H66" s="79">
        <f t="shared" si="6"/>
        <v>2040</v>
      </c>
      <c r="I66" s="80">
        <f t="shared" si="7"/>
        <v>6571116</v>
      </c>
      <c r="J66" s="10"/>
      <c r="K66" s="17"/>
      <c r="L66" s="81"/>
      <c r="M66" s="17"/>
      <c r="N66" s="82">
        <f t="shared" si="9"/>
        <v>75670</v>
      </c>
      <c r="O66" s="17"/>
      <c r="P66" s="87">
        <f t="shared" si="8"/>
        <v>33233</v>
      </c>
      <c r="Q66" s="87">
        <f t="shared" si="10"/>
        <v>108903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4</v>
      </c>
      <c r="D67" s="75"/>
      <c r="E67" s="76">
        <f t="shared" si="4"/>
        <v>49</v>
      </c>
      <c r="F67" s="77">
        <f t="shared" si="5"/>
        <v>28</v>
      </c>
      <c r="G67" s="78" t="str">
        <f t="shared" si="2"/>
        <v>Abr</v>
      </c>
      <c r="H67" s="79">
        <f t="shared" si="6"/>
        <v>2040</v>
      </c>
      <c r="I67" s="80">
        <f t="shared" si="7"/>
        <v>6495068</v>
      </c>
      <c r="J67" s="10"/>
      <c r="K67" s="17"/>
      <c r="L67" s="81"/>
      <c r="M67" s="17"/>
      <c r="N67" s="82">
        <f t="shared" si="9"/>
        <v>76048</v>
      </c>
      <c r="O67" s="17"/>
      <c r="P67" s="87">
        <f t="shared" si="8"/>
        <v>32855</v>
      </c>
      <c r="Q67" s="87">
        <f t="shared" si="10"/>
        <v>108903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5</v>
      </c>
      <c r="D68" s="75"/>
      <c r="E68" s="76">
        <f t="shared" si="4"/>
        <v>50</v>
      </c>
      <c r="F68" s="77">
        <f t="shared" ref="F68:F74" si="11">IF(E68&gt;1,$F$18)</f>
        <v>28</v>
      </c>
      <c r="G68" s="78" t="str">
        <f t="shared" si="2"/>
        <v>May</v>
      </c>
      <c r="H68" s="79">
        <f t="shared" si="6"/>
        <v>2040</v>
      </c>
      <c r="I68" s="80">
        <f t="shared" si="7"/>
        <v>6418640</v>
      </c>
      <c r="J68" s="10"/>
      <c r="K68" s="17"/>
      <c r="L68" s="81"/>
      <c r="M68" s="17"/>
      <c r="N68" s="82">
        <f t="shared" si="9"/>
        <v>76428</v>
      </c>
      <c r="O68" s="17"/>
      <c r="P68" s="87">
        <f t="shared" si="8"/>
        <v>32475</v>
      </c>
      <c r="Q68" s="87">
        <f t="shared" si="10"/>
        <v>108903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6</v>
      </c>
      <c r="D69" s="75"/>
      <c r="E69" s="76">
        <f t="shared" si="4"/>
        <v>51</v>
      </c>
      <c r="F69" s="77">
        <f t="shared" si="11"/>
        <v>28</v>
      </c>
      <c r="G69" s="78" t="str">
        <f t="shared" si="2"/>
        <v>Jun</v>
      </c>
      <c r="H69" s="79">
        <f t="shared" si="6"/>
        <v>2040</v>
      </c>
      <c r="I69" s="80">
        <f t="shared" si="7"/>
        <v>6341830</v>
      </c>
      <c r="J69" s="10"/>
      <c r="K69" s="17"/>
      <c r="L69" s="81"/>
      <c r="M69" s="17"/>
      <c r="N69" s="82">
        <f t="shared" si="9"/>
        <v>76810</v>
      </c>
      <c r="O69" s="17"/>
      <c r="P69" s="87">
        <f t="shared" si="8"/>
        <v>32093</v>
      </c>
      <c r="Q69" s="87">
        <f t="shared" si="10"/>
        <v>108903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7</v>
      </c>
      <c r="D70" s="75"/>
      <c r="E70" s="76">
        <f t="shared" si="4"/>
        <v>52</v>
      </c>
      <c r="F70" s="77">
        <f t="shared" si="11"/>
        <v>28</v>
      </c>
      <c r="G70" s="78" t="str">
        <f t="shared" si="2"/>
        <v>Jul</v>
      </c>
      <c r="H70" s="79">
        <f t="shared" si="6"/>
        <v>2040</v>
      </c>
      <c r="I70" s="80">
        <f t="shared" si="7"/>
        <v>6264636</v>
      </c>
      <c r="J70" s="10"/>
      <c r="K70" s="17"/>
      <c r="L70" s="90"/>
      <c r="M70" s="91"/>
      <c r="N70" s="82">
        <f t="shared" si="9"/>
        <v>77194</v>
      </c>
      <c r="O70" s="17"/>
      <c r="P70" s="87">
        <f t="shared" si="8"/>
        <v>31709</v>
      </c>
      <c r="Q70" s="87">
        <f t="shared" si="10"/>
        <v>108903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8</v>
      </c>
      <c r="D71" s="75"/>
      <c r="E71" s="76">
        <f t="shared" si="4"/>
        <v>53</v>
      </c>
      <c r="F71" s="77">
        <f t="shared" si="11"/>
        <v>28</v>
      </c>
      <c r="G71" s="78" t="str">
        <f t="shared" si="2"/>
        <v>Ago</v>
      </c>
      <c r="H71" s="79">
        <f t="shared" si="6"/>
        <v>2040</v>
      </c>
      <c r="I71" s="80">
        <f t="shared" si="7"/>
        <v>6187056</v>
      </c>
      <c r="J71" s="10"/>
      <c r="K71" s="17"/>
      <c r="L71" s="90"/>
      <c r="M71" s="91"/>
      <c r="N71" s="82">
        <f t="shared" si="9"/>
        <v>77580</v>
      </c>
      <c r="O71" s="17"/>
      <c r="P71" s="87">
        <f t="shared" si="8"/>
        <v>31323</v>
      </c>
      <c r="Q71" s="87">
        <f t="shared" si="10"/>
        <v>108903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9</v>
      </c>
      <c r="D72" s="75"/>
      <c r="E72" s="76">
        <f t="shared" si="4"/>
        <v>54</v>
      </c>
      <c r="F72" s="77">
        <f t="shared" si="11"/>
        <v>28</v>
      </c>
      <c r="G72" s="78" t="str">
        <f t="shared" si="2"/>
        <v>Sep</v>
      </c>
      <c r="H72" s="79">
        <f t="shared" si="6"/>
        <v>2040</v>
      </c>
      <c r="I72" s="80">
        <f t="shared" si="7"/>
        <v>6109088</v>
      </c>
      <c r="J72" s="10"/>
      <c r="K72" s="17"/>
      <c r="L72" s="90"/>
      <c r="M72" s="91"/>
      <c r="N72" s="82">
        <f t="shared" si="9"/>
        <v>77968</v>
      </c>
      <c r="O72" s="17"/>
      <c r="P72" s="87">
        <f t="shared" si="8"/>
        <v>30935</v>
      </c>
      <c r="Q72" s="87">
        <f t="shared" si="10"/>
        <v>108903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10</v>
      </c>
      <c r="D73" s="75"/>
      <c r="E73" s="76">
        <f t="shared" si="4"/>
        <v>55</v>
      </c>
      <c r="F73" s="77">
        <f t="shared" si="11"/>
        <v>28</v>
      </c>
      <c r="G73" s="78" t="str">
        <f t="shared" si="2"/>
        <v>Oct</v>
      </c>
      <c r="H73" s="79">
        <f t="shared" si="6"/>
        <v>2040</v>
      </c>
      <c r="I73" s="80">
        <f t="shared" si="7"/>
        <v>6030730</v>
      </c>
      <c r="J73" s="10"/>
      <c r="K73" s="17"/>
      <c r="L73" s="90"/>
      <c r="M73" s="91"/>
      <c r="N73" s="82">
        <f t="shared" si="9"/>
        <v>78358</v>
      </c>
      <c r="O73" s="17"/>
      <c r="P73" s="87">
        <f t="shared" si="8"/>
        <v>30545</v>
      </c>
      <c r="Q73" s="87">
        <f t="shared" si="10"/>
        <v>108903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11</v>
      </c>
      <c r="D74" s="75"/>
      <c r="E74" s="76">
        <f t="shared" si="4"/>
        <v>56</v>
      </c>
      <c r="F74" s="77">
        <f t="shared" si="11"/>
        <v>28</v>
      </c>
      <c r="G74" s="78" t="str">
        <f t="shared" si="2"/>
        <v>Nov</v>
      </c>
      <c r="H74" s="79">
        <f t="shared" si="6"/>
        <v>2040</v>
      </c>
      <c r="I74" s="80">
        <f t="shared" si="7"/>
        <v>5951980</v>
      </c>
      <c r="J74" s="10"/>
      <c r="K74" s="17"/>
      <c r="L74" s="90"/>
      <c r="M74" s="91"/>
      <c r="N74" s="82">
        <f t="shared" si="9"/>
        <v>78750</v>
      </c>
      <c r="O74" s="17"/>
      <c r="P74" s="87">
        <f t="shared" si="8"/>
        <v>30153</v>
      </c>
      <c r="Q74" s="87">
        <f t="shared" si="10"/>
        <v>108903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12</v>
      </c>
      <c r="D75" s="75"/>
      <c r="E75" s="76">
        <f t="shared" si="4"/>
        <v>57</v>
      </c>
      <c r="F75" s="77">
        <f t="shared" ref="F75:F128" si="12">$F$18</f>
        <v>28</v>
      </c>
      <c r="G75" s="78" t="str">
        <f t="shared" si="2"/>
        <v>Dic</v>
      </c>
      <c r="H75" s="79">
        <f t="shared" si="6"/>
        <v>2040</v>
      </c>
      <c r="I75" s="80">
        <f t="shared" si="7"/>
        <v>5872836</v>
      </c>
      <c r="J75" s="10"/>
      <c r="K75" s="17"/>
      <c r="L75" s="90"/>
      <c r="M75" s="91"/>
      <c r="N75" s="82">
        <f t="shared" si="9"/>
        <v>79144</v>
      </c>
      <c r="O75" s="17"/>
      <c r="P75" s="87">
        <f t="shared" si="8"/>
        <v>29759</v>
      </c>
      <c r="Q75" s="87">
        <f t="shared" si="10"/>
        <v>108903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</v>
      </c>
      <c r="D76" s="75"/>
      <c r="E76" s="76">
        <f t="shared" si="4"/>
        <v>58</v>
      </c>
      <c r="F76" s="88">
        <f t="shared" si="12"/>
        <v>28</v>
      </c>
      <c r="G76" s="78" t="str">
        <f t="shared" si="2"/>
        <v>Ene</v>
      </c>
      <c r="H76" s="89">
        <f t="shared" si="6"/>
        <v>2041</v>
      </c>
      <c r="I76" s="80">
        <f t="shared" si="7"/>
        <v>5793297</v>
      </c>
      <c r="J76" s="10"/>
      <c r="K76" s="17"/>
      <c r="L76" s="90"/>
      <c r="M76" s="91"/>
      <c r="N76" s="82">
        <f t="shared" si="9"/>
        <v>79539</v>
      </c>
      <c r="O76" s="17"/>
      <c r="P76" s="87">
        <f t="shared" si="8"/>
        <v>29364</v>
      </c>
      <c r="Q76" s="87">
        <f t="shared" si="10"/>
        <v>108903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2</v>
      </c>
      <c r="D77" s="75"/>
      <c r="E77" s="76">
        <f t="shared" si="4"/>
        <v>59</v>
      </c>
      <c r="F77" s="77">
        <f t="shared" si="12"/>
        <v>28</v>
      </c>
      <c r="G77" s="78" t="str">
        <f t="shared" si="2"/>
        <v>Feb</v>
      </c>
      <c r="H77" s="79">
        <f t="shared" si="6"/>
        <v>2041</v>
      </c>
      <c r="I77" s="80">
        <f t="shared" si="7"/>
        <v>5713360</v>
      </c>
      <c r="J77" s="10"/>
      <c r="K77" s="17"/>
      <c r="L77" s="90"/>
      <c r="M77" s="91"/>
      <c r="N77" s="82">
        <f t="shared" si="9"/>
        <v>79937</v>
      </c>
      <c r="O77" s="17"/>
      <c r="P77" s="87">
        <f t="shared" si="8"/>
        <v>28966</v>
      </c>
      <c r="Q77" s="87">
        <f t="shared" si="10"/>
        <v>108903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3</v>
      </c>
      <c r="D78" s="75"/>
      <c r="E78" s="76">
        <f t="shared" si="4"/>
        <v>60</v>
      </c>
      <c r="F78" s="77">
        <f t="shared" si="12"/>
        <v>28</v>
      </c>
      <c r="G78" s="78" t="str">
        <f t="shared" si="2"/>
        <v>Mar</v>
      </c>
      <c r="H78" s="79">
        <f t="shared" si="6"/>
        <v>2041</v>
      </c>
      <c r="I78" s="80">
        <f t="shared" si="7"/>
        <v>5633023</v>
      </c>
      <c r="J78" s="10"/>
      <c r="K78" s="17"/>
      <c r="L78" s="81"/>
      <c r="M78" s="17"/>
      <c r="N78" s="82">
        <f t="shared" si="9"/>
        <v>80337</v>
      </c>
      <c r="O78" s="17"/>
      <c r="P78" s="87">
        <f t="shared" si="8"/>
        <v>28566</v>
      </c>
      <c r="Q78" s="87">
        <f t="shared" si="10"/>
        <v>108903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4</v>
      </c>
      <c r="D79" s="75"/>
      <c r="E79" s="76">
        <f t="shared" si="4"/>
        <v>61</v>
      </c>
      <c r="F79" s="77">
        <f t="shared" si="12"/>
        <v>28</v>
      </c>
      <c r="G79" s="78" t="str">
        <f t="shared" si="2"/>
        <v>Abr</v>
      </c>
      <c r="H79" s="79">
        <f t="shared" si="6"/>
        <v>2041</v>
      </c>
      <c r="I79" s="80">
        <f t="shared" si="7"/>
        <v>5552285</v>
      </c>
      <c r="J79" s="10"/>
      <c r="K79" s="17"/>
      <c r="L79" s="81"/>
      <c r="M79" s="17"/>
      <c r="N79" s="82">
        <f t="shared" si="9"/>
        <v>80738</v>
      </c>
      <c r="O79" s="17"/>
      <c r="P79" s="87">
        <f t="shared" si="8"/>
        <v>28165</v>
      </c>
      <c r="Q79" s="87">
        <f t="shared" si="10"/>
        <v>108903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5</v>
      </c>
      <c r="D80" s="75"/>
      <c r="E80" s="76">
        <f t="shared" si="4"/>
        <v>62</v>
      </c>
      <c r="F80" s="77">
        <f t="shared" si="12"/>
        <v>28</v>
      </c>
      <c r="G80" s="78" t="str">
        <f t="shared" si="2"/>
        <v>May</v>
      </c>
      <c r="H80" s="79">
        <f t="shared" si="6"/>
        <v>2041</v>
      </c>
      <c r="I80" s="80">
        <f t="shared" si="7"/>
        <v>5471143</v>
      </c>
      <c r="J80" s="10"/>
      <c r="K80" s="17"/>
      <c r="L80" s="81"/>
      <c r="M80" s="17"/>
      <c r="N80" s="82">
        <f t="shared" si="9"/>
        <v>81142</v>
      </c>
      <c r="O80" s="17"/>
      <c r="P80" s="87">
        <f t="shared" si="8"/>
        <v>27761</v>
      </c>
      <c r="Q80" s="87">
        <f t="shared" si="10"/>
        <v>108903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6</v>
      </c>
      <c r="D81" s="75"/>
      <c r="E81" s="76">
        <f t="shared" si="4"/>
        <v>63</v>
      </c>
      <c r="F81" s="77">
        <f t="shared" si="12"/>
        <v>28</v>
      </c>
      <c r="G81" s="78" t="str">
        <f t="shared" si="2"/>
        <v>Jun</v>
      </c>
      <c r="H81" s="79">
        <f t="shared" si="6"/>
        <v>2041</v>
      </c>
      <c r="I81" s="80">
        <f t="shared" si="7"/>
        <v>5389595</v>
      </c>
      <c r="J81" s="10"/>
      <c r="K81" s="17"/>
      <c r="L81" s="81"/>
      <c r="M81" s="17"/>
      <c r="N81" s="82">
        <f t="shared" si="9"/>
        <v>81548</v>
      </c>
      <c r="O81" s="17"/>
      <c r="P81" s="87">
        <f t="shared" si="8"/>
        <v>27355</v>
      </c>
      <c r="Q81" s="87">
        <f t="shared" si="10"/>
        <v>108903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7</v>
      </c>
      <c r="D82" s="75"/>
      <c r="E82" s="76">
        <f t="shared" si="4"/>
        <v>64</v>
      </c>
      <c r="F82" s="77">
        <f t="shared" si="12"/>
        <v>28</v>
      </c>
      <c r="G82" s="78" t="str">
        <f t="shared" si="2"/>
        <v>Jul</v>
      </c>
      <c r="H82" s="79">
        <f t="shared" si="6"/>
        <v>2041</v>
      </c>
      <c r="I82" s="80">
        <f t="shared" si="7"/>
        <v>5307639</v>
      </c>
      <c r="J82" s="10"/>
      <c r="K82" s="17"/>
      <c r="L82" s="81"/>
      <c r="M82" s="17"/>
      <c r="N82" s="82">
        <f t="shared" si="9"/>
        <v>81956</v>
      </c>
      <c r="O82" s="17"/>
      <c r="P82" s="87">
        <f t="shared" si="8"/>
        <v>26947</v>
      </c>
      <c r="Q82" s="87">
        <f t="shared" si="10"/>
        <v>108903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8</v>
      </c>
      <c r="D83" s="75"/>
      <c r="E83" s="76">
        <f t="shared" si="4"/>
        <v>65</v>
      </c>
      <c r="F83" s="77">
        <f t="shared" si="12"/>
        <v>28</v>
      </c>
      <c r="G83" s="78" t="str">
        <f t="shared" si="2"/>
        <v>Ago</v>
      </c>
      <c r="H83" s="79">
        <f t="shared" si="6"/>
        <v>2041</v>
      </c>
      <c r="I83" s="80">
        <f t="shared" si="7"/>
        <v>5225274</v>
      </c>
      <c r="J83" s="10"/>
      <c r="K83" s="17"/>
      <c r="L83" s="81"/>
      <c r="M83" s="17"/>
      <c r="N83" s="82">
        <f t="shared" si="9"/>
        <v>82365</v>
      </c>
      <c r="O83" s="17"/>
      <c r="P83" s="87">
        <f t="shared" si="8"/>
        <v>26538</v>
      </c>
      <c r="Q83" s="87">
        <f t="shared" si="10"/>
        <v>108903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9</v>
      </c>
      <c r="D84" s="75"/>
      <c r="E84" s="76">
        <f t="shared" si="4"/>
        <v>66</v>
      </c>
      <c r="F84" s="77">
        <f t="shared" si="12"/>
        <v>28</v>
      </c>
      <c r="G84" s="78" t="str">
        <f t="shared" si="2"/>
        <v>Sep</v>
      </c>
      <c r="H84" s="79">
        <f t="shared" si="6"/>
        <v>2041</v>
      </c>
      <c r="I84" s="80">
        <f t="shared" si="7"/>
        <v>5142497</v>
      </c>
      <c r="J84" s="10"/>
      <c r="K84" s="17"/>
      <c r="L84" s="81"/>
      <c r="M84" s="17"/>
      <c r="N84" s="82">
        <f t="shared" si="9"/>
        <v>82777</v>
      </c>
      <c r="O84" s="17"/>
      <c r="P84" s="87">
        <f t="shared" si="8"/>
        <v>26126</v>
      </c>
      <c r="Q84" s="87">
        <f t="shared" si="10"/>
        <v>108903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10</v>
      </c>
      <c r="D85" s="75"/>
      <c r="E85" s="76">
        <f t="shared" si="4"/>
        <v>67</v>
      </c>
      <c r="F85" s="77">
        <f t="shared" si="12"/>
        <v>28</v>
      </c>
      <c r="G85" s="78" t="str">
        <f t="shared" si="2"/>
        <v>Oct</v>
      </c>
      <c r="H85" s="79">
        <f t="shared" si="6"/>
        <v>2041</v>
      </c>
      <c r="I85" s="80">
        <f t="shared" si="7"/>
        <v>5059306</v>
      </c>
      <c r="J85" s="10"/>
      <c r="K85" s="17"/>
      <c r="L85" s="81"/>
      <c r="M85" s="17"/>
      <c r="N85" s="82">
        <f t="shared" si="9"/>
        <v>83191</v>
      </c>
      <c r="O85" s="17"/>
      <c r="P85" s="87">
        <f t="shared" si="8"/>
        <v>25712</v>
      </c>
      <c r="Q85" s="87">
        <f t="shared" si="10"/>
        <v>108903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11</v>
      </c>
      <c r="D86" s="75"/>
      <c r="E86" s="76">
        <f t="shared" si="4"/>
        <v>68</v>
      </c>
      <c r="F86" s="77">
        <f t="shared" si="12"/>
        <v>28</v>
      </c>
      <c r="G86" s="78" t="str">
        <f t="shared" si="2"/>
        <v>Nov</v>
      </c>
      <c r="H86" s="79">
        <f t="shared" si="6"/>
        <v>2041</v>
      </c>
      <c r="I86" s="80">
        <f t="shared" si="7"/>
        <v>4975699</v>
      </c>
      <c r="J86" s="10"/>
      <c r="K86" s="17"/>
      <c r="L86" s="81"/>
      <c r="M86" s="17"/>
      <c r="N86" s="82">
        <f t="shared" si="9"/>
        <v>83607</v>
      </c>
      <c r="O86" s="17"/>
      <c r="P86" s="87">
        <f t="shared" si="8"/>
        <v>25296</v>
      </c>
      <c r="Q86" s="87">
        <f t="shared" si="10"/>
        <v>108903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12</v>
      </c>
      <c r="D87" s="75"/>
      <c r="E87" s="76">
        <f t="shared" si="4"/>
        <v>69</v>
      </c>
      <c r="F87" s="77">
        <f t="shared" si="12"/>
        <v>28</v>
      </c>
      <c r="G87" s="78" t="str">
        <f t="shared" si="2"/>
        <v>Dic</v>
      </c>
      <c r="H87" s="79">
        <f t="shared" si="6"/>
        <v>2041</v>
      </c>
      <c r="I87" s="80">
        <f t="shared" si="7"/>
        <v>4891674</v>
      </c>
      <c r="J87" s="10"/>
      <c r="K87" s="17"/>
      <c r="L87" s="81"/>
      <c r="M87" s="17"/>
      <c r="N87" s="82">
        <f t="shared" si="9"/>
        <v>84025</v>
      </c>
      <c r="O87" s="17"/>
      <c r="P87" s="87">
        <f t="shared" si="8"/>
        <v>24878</v>
      </c>
      <c r="Q87" s="87">
        <f t="shared" si="10"/>
        <v>108903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</v>
      </c>
      <c r="D88" s="75"/>
      <c r="E88" s="76">
        <f t="shared" si="4"/>
        <v>70</v>
      </c>
      <c r="F88" s="88">
        <f t="shared" si="12"/>
        <v>28</v>
      </c>
      <c r="G88" s="78" t="str">
        <f t="shared" si="2"/>
        <v>Ene</v>
      </c>
      <c r="H88" s="89">
        <f t="shared" si="6"/>
        <v>2042</v>
      </c>
      <c r="I88" s="80">
        <f t="shared" si="7"/>
        <v>4807229</v>
      </c>
      <c r="J88" s="10"/>
      <c r="K88" s="17"/>
      <c r="L88" s="81"/>
      <c r="M88" s="17"/>
      <c r="N88" s="82">
        <f t="shared" si="9"/>
        <v>84445</v>
      </c>
      <c r="O88" s="17"/>
      <c r="P88" s="87">
        <f t="shared" si="8"/>
        <v>24458</v>
      </c>
      <c r="Q88" s="87">
        <f t="shared" si="10"/>
        <v>108903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2</v>
      </c>
      <c r="D89" s="75"/>
      <c r="E89" s="76">
        <f t="shared" si="4"/>
        <v>71</v>
      </c>
      <c r="F89" s="77">
        <f t="shared" si="12"/>
        <v>28</v>
      </c>
      <c r="G89" s="78" t="str">
        <f t="shared" si="2"/>
        <v>Feb</v>
      </c>
      <c r="H89" s="79">
        <f t="shared" si="6"/>
        <v>2042</v>
      </c>
      <c r="I89" s="80">
        <f t="shared" si="7"/>
        <v>4722362</v>
      </c>
      <c r="J89" s="10"/>
      <c r="K89" s="17"/>
      <c r="L89" s="81"/>
      <c r="M89" s="17"/>
      <c r="N89" s="82">
        <f t="shared" si="9"/>
        <v>84867</v>
      </c>
      <c r="O89" s="17"/>
      <c r="P89" s="87">
        <f t="shared" si="8"/>
        <v>24036</v>
      </c>
      <c r="Q89" s="87">
        <f t="shared" si="10"/>
        <v>108903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3</v>
      </c>
      <c r="D90" s="75"/>
      <c r="E90" s="76">
        <f t="shared" si="4"/>
        <v>72</v>
      </c>
      <c r="F90" s="77">
        <f t="shared" si="12"/>
        <v>28</v>
      </c>
      <c r="G90" s="78" t="str">
        <f t="shared" si="2"/>
        <v>Mar</v>
      </c>
      <c r="H90" s="79">
        <f t="shared" si="6"/>
        <v>2042</v>
      </c>
      <c r="I90" s="80">
        <f t="shared" si="7"/>
        <v>4637070</v>
      </c>
      <c r="J90" s="10"/>
      <c r="K90" s="17"/>
      <c r="L90" s="81"/>
      <c r="M90" s="17"/>
      <c r="N90" s="82">
        <f t="shared" si="9"/>
        <v>85292</v>
      </c>
      <c r="O90" s="17"/>
      <c r="P90" s="87">
        <f t="shared" si="8"/>
        <v>23611</v>
      </c>
      <c r="Q90" s="87">
        <f t="shared" si="10"/>
        <v>108903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4</v>
      </c>
      <c r="D91" s="75"/>
      <c r="E91" s="76">
        <f t="shared" si="4"/>
        <v>73</v>
      </c>
      <c r="F91" s="77">
        <f t="shared" si="12"/>
        <v>28</v>
      </c>
      <c r="G91" s="78" t="str">
        <f t="shared" si="2"/>
        <v>Abr</v>
      </c>
      <c r="H91" s="79">
        <f t="shared" si="6"/>
        <v>2042</v>
      </c>
      <c r="I91" s="80">
        <f t="shared" si="7"/>
        <v>4551352</v>
      </c>
      <c r="J91" s="10"/>
      <c r="K91" s="17"/>
      <c r="L91" s="81"/>
      <c r="M91" s="17"/>
      <c r="N91" s="82">
        <f t="shared" si="9"/>
        <v>85718</v>
      </c>
      <c r="O91" s="17"/>
      <c r="P91" s="87">
        <f t="shared" si="8"/>
        <v>23185</v>
      </c>
      <c r="Q91" s="87">
        <f t="shared" si="10"/>
        <v>108903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5</v>
      </c>
      <c r="D92" s="75"/>
      <c r="E92" s="76">
        <f t="shared" si="4"/>
        <v>74</v>
      </c>
      <c r="F92" s="77">
        <f t="shared" si="12"/>
        <v>28</v>
      </c>
      <c r="G92" s="78" t="str">
        <f t="shared" si="2"/>
        <v>May</v>
      </c>
      <c r="H92" s="79">
        <f t="shared" si="6"/>
        <v>2042</v>
      </c>
      <c r="I92" s="80">
        <f t="shared" si="7"/>
        <v>4465205</v>
      </c>
      <c r="J92" s="10"/>
      <c r="K92" s="17"/>
      <c r="L92" s="81"/>
      <c r="M92" s="17"/>
      <c r="N92" s="82">
        <f t="shared" si="9"/>
        <v>86147</v>
      </c>
      <c r="O92" s="17"/>
      <c r="P92" s="87">
        <f t="shared" si="8"/>
        <v>22756</v>
      </c>
      <c r="Q92" s="87">
        <f t="shared" si="10"/>
        <v>108903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6</v>
      </c>
      <c r="D93" s="75"/>
      <c r="E93" s="76">
        <f t="shared" si="4"/>
        <v>75</v>
      </c>
      <c r="F93" s="77">
        <f t="shared" si="12"/>
        <v>28</v>
      </c>
      <c r="G93" s="78" t="str">
        <f t="shared" si="2"/>
        <v>Jun</v>
      </c>
      <c r="H93" s="79">
        <f t="shared" si="6"/>
        <v>2042</v>
      </c>
      <c r="I93" s="80">
        <f t="shared" si="7"/>
        <v>4378628</v>
      </c>
      <c r="J93" s="10"/>
      <c r="K93" s="17"/>
      <c r="L93" s="81"/>
      <c r="M93" s="17"/>
      <c r="N93" s="82">
        <f t="shared" si="9"/>
        <v>86577</v>
      </c>
      <c r="O93" s="17"/>
      <c r="P93" s="87">
        <f t="shared" si="8"/>
        <v>22326</v>
      </c>
      <c r="Q93" s="87">
        <f t="shared" si="10"/>
        <v>108903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7</v>
      </c>
      <c r="D94" s="75"/>
      <c r="E94" s="76">
        <f t="shared" si="4"/>
        <v>76</v>
      </c>
      <c r="F94" s="77">
        <f t="shared" si="12"/>
        <v>28</v>
      </c>
      <c r="G94" s="78" t="str">
        <f t="shared" si="2"/>
        <v>Jul</v>
      </c>
      <c r="H94" s="79">
        <f t="shared" si="6"/>
        <v>2042</v>
      </c>
      <c r="I94" s="80">
        <f t="shared" si="7"/>
        <v>4291618</v>
      </c>
      <c r="J94" s="10"/>
      <c r="K94" s="17"/>
      <c r="L94" s="81"/>
      <c r="M94" s="17"/>
      <c r="N94" s="82">
        <f t="shared" si="9"/>
        <v>87010</v>
      </c>
      <c r="O94" s="17"/>
      <c r="P94" s="87">
        <f t="shared" si="8"/>
        <v>21893</v>
      </c>
      <c r="Q94" s="87">
        <f t="shared" si="10"/>
        <v>108903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8</v>
      </c>
      <c r="D95" s="75"/>
      <c r="E95" s="76">
        <f t="shared" si="4"/>
        <v>77</v>
      </c>
      <c r="F95" s="77">
        <f t="shared" si="12"/>
        <v>28</v>
      </c>
      <c r="G95" s="78" t="str">
        <f t="shared" si="2"/>
        <v>Ago</v>
      </c>
      <c r="H95" s="79">
        <f t="shared" si="6"/>
        <v>2042</v>
      </c>
      <c r="I95" s="80">
        <f t="shared" si="7"/>
        <v>4204173</v>
      </c>
      <c r="J95" s="10"/>
      <c r="K95" s="17"/>
      <c r="L95" s="81"/>
      <c r="M95" s="17"/>
      <c r="N95" s="82">
        <f t="shared" si="9"/>
        <v>87445</v>
      </c>
      <c r="O95" s="17"/>
      <c r="P95" s="87">
        <f t="shared" si="8"/>
        <v>21458</v>
      </c>
      <c r="Q95" s="87">
        <f t="shared" si="10"/>
        <v>108903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9</v>
      </c>
      <c r="D96" s="75"/>
      <c r="E96" s="76">
        <f t="shared" si="4"/>
        <v>78</v>
      </c>
      <c r="F96" s="77">
        <f t="shared" si="12"/>
        <v>28</v>
      </c>
      <c r="G96" s="78" t="str">
        <f t="shared" si="2"/>
        <v>Sep</v>
      </c>
      <c r="H96" s="79">
        <f t="shared" si="6"/>
        <v>2042</v>
      </c>
      <c r="I96" s="80">
        <f t="shared" si="7"/>
        <v>4116290</v>
      </c>
      <c r="J96" s="10"/>
      <c r="K96" s="17"/>
      <c r="L96" s="81"/>
      <c r="M96" s="17"/>
      <c r="N96" s="82">
        <f t="shared" si="9"/>
        <v>87883</v>
      </c>
      <c r="O96" s="17"/>
      <c r="P96" s="87">
        <f t="shared" si="8"/>
        <v>21020</v>
      </c>
      <c r="Q96" s="87">
        <f t="shared" si="10"/>
        <v>108903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10</v>
      </c>
      <c r="D97" s="75"/>
      <c r="E97" s="76">
        <f t="shared" si="4"/>
        <v>79</v>
      </c>
      <c r="F97" s="77">
        <f t="shared" si="12"/>
        <v>28</v>
      </c>
      <c r="G97" s="78" t="str">
        <f t="shared" si="2"/>
        <v>Oct</v>
      </c>
      <c r="H97" s="79">
        <f t="shared" si="6"/>
        <v>2042</v>
      </c>
      <c r="I97" s="80">
        <f t="shared" si="7"/>
        <v>4027968</v>
      </c>
      <c r="J97" s="10"/>
      <c r="K97" s="17"/>
      <c r="L97" s="81"/>
      <c r="M97" s="17"/>
      <c r="N97" s="82">
        <f t="shared" si="9"/>
        <v>88322</v>
      </c>
      <c r="O97" s="17"/>
      <c r="P97" s="87">
        <f t="shared" si="8"/>
        <v>20581</v>
      </c>
      <c r="Q97" s="87">
        <f t="shared" si="10"/>
        <v>108903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11</v>
      </c>
      <c r="D98" s="75"/>
      <c r="E98" s="76">
        <f t="shared" si="4"/>
        <v>80</v>
      </c>
      <c r="F98" s="77">
        <f t="shared" si="12"/>
        <v>28</v>
      </c>
      <c r="G98" s="78" t="str">
        <f t="shared" si="2"/>
        <v>Nov</v>
      </c>
      <c r="H98" s="79">
        <f t="shared" si="6"/>
        <v>2042</v>
      </c>
      <c r="I98" s="80">
        <f t="shared" si="7"/>
        <v>3939204</v>
      </c>
      <c r="J98" s="10"/>
      <c r="K98" s="17"/>
      <c r="L98" s="81"/>
      <c r="M98" s="17"/>
      <c r="N98" s="82">
        <f t="shared" si="9"/>
        <v>88764</v>
      </c>
      <c r="O98" s="17"/>
      <c r="P98" s="87">
        <f t="shared" si="8"/>
        <v>20139</v>
      </c>
      <c r="Q98" s="87">
        <f t="shared" si="10"/>
        <v>108903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12</v>
      </c>
      <c r="D99" s="75"/>
      <c r="E99" s="76">
        <f t="shared" si="4"/>
        <v>81</v>
      </c>
      <c r="F99" s="77">
        <f t="shared" si="12"/>
        <v>28</v>
      </c>
      <c r="G99" s="78" t="str">
        <f t="shared" si="2"/>
        <v>Dic</v>
      </c>
      <c r="H99" s="79">
        <f t="shared" si="6"/>
        <v>2042</v>
      </c>
      <c r="I99" s="80">
        <f t="shared" si="7"/>
        <v>3849997</v>
      </c>
      <c r="J99" s="10"/>
      <c r="K99" s="17"/>
      <c r="L99" s="81"/>
      <c r="M99" s="17"/>
      <c r="N99" s="82">
        <f t="shared" si="9"/>
        <v>89207</v>
      </c>
      <c r="O99" s="17"/>
      <c r="P99" s="87">
        <f t="shared" si="8"/>
        <v>19696</v>
      </c>
      <c r="Q99" s="87">
        <f t="shared" si="10"/>
        <v>108903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</v>
      </c>
      <c r="D100" s="75"/>
      <c r="E100" s="76">
        <f t="shared" si="4"/>
        <v>82</v>
      </c>
      <c r="F100" s="88">
        <f t="shared" si="12"/>
        <v>28</v>
      </c>
      <c r="G100" s="78" t="str">
        <f t="shared" si="2"/>
        <v>Ene</v>
      </c>
      <c r="H100" s="89">
        <f t="shared" si="6"/>
        <v>2043</v>
      </c>
      <c r="I100" s="80">
        <f t="shared" si="7"/>
        <v>3760343</v>
      </c>
      <c r="J100" s="10"/>
      <c r="K100" s="17"/>
      <c r="L100" s="81"/>
      <c r="M100" s="17"/>
      <c r="N100" s="82">
        <f t="shared" si="9"/>
        <v>89654</v>
      </c>
      <c r="O100" s="17"/>
      <c r="P100" s="87">
        <f t="shared" si="8"/>
        <v>19249</v>
      </c>
      <c r="Q100" s="87">
        <f t="shared" si="10"/>
        <v>108903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2</v>
      </c>
      <c r="D101" s="75"/>
      <c r="E101" s="76">
        <f t="shared" si="4"/>
        <v>83</v>
      </c>
      <c r="F101" s="77">
        <f t="shared" si="12"/>
        <v>28</v>
      </c>
      <c r="G101" s="78" t="str">
        <f t="shared" si="2"/>
        <v>Feb</v>
      </c>
      <c r="H101" s="79">
        <f t="shared" si="6"/>
        <v>2043</v>
      </c>
      <c r="I101" s="80">
        <f t="shared" si="7"/>
        <v>3670241</v>
      </c>
      <c r="J101" s="10"/>
      <c r="K101" s="17"/>
      <c r="L101" s="81"/>
      <c r="M101" s="17"/>
      <c r="N101" s="82">
        <f t="shared" si="9"/>
        <v>90102</v>
      </c>
      <c r="O101" s="17"/>
      <c r="P101" s="87">
        <f t="shared" si="8"/>
        <v>18801</v>
      </c>
      <c r="Q101" s="87">
        <f t="shared" si="10"/>
        <v>108903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3</v>
      </c>
      <c r="D102" s="75"/>
      <c r="E102" s="76">
        <f t="shared" si="4"/>
        <v>84</v>
      </c>
      <c r="F102" s="77">
        <f t="shared" si="12"/>
        <v>28</v>
      </c>
      <c r="G102" s="78" t="str">
        <f t="shared" si="2"/>
        <v>Mar</v>
      </c>
      <c r="H102" s="79">
        <f t="shared" si="6"/>
        <v>2043</v>
      </c>
      <c r="I102" s="80">
        <f t="shared" si="7"/>
        <v>3579689</v>
      </c>
      <c r="J102" s="10"/>
      <c r="K102" s="17"/>
      <c r="L102" s="81"/>
      <c r="M102" s="17"/>
      <c r="N102" s="82">
        <f t="shared" si="9"/>
        <v>90552</v>
      </c>
      <c r="O102" s="17"/>
      <c r="P102" s="87">
        <f t="shared" si="8"/>
        <v>18351</v>
      </c>
      <c r="Q102" s="87">
        <f t="shared" si="10"/>
        <v>108903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4</v>
      </c>
      <c r="D103" s="75"/>
      <c r="E103" s="76">
        <f t="shared" si="4"/>
        <v>85</v>
      </c>
      <c r="F103" s="77">
        <f t="shared" si="12"/>
        <v>28</v>
      </c>
      <c r="G103" s="78" t="str">
        <f t="shared" si="2"/>
        <v>Abr</v>
      </c>
      <c r="H103" s="79">
        <f t="shared" si="6"/>
        <v>2043</v>
      </c>
      <c r="I103" s="80">
        <f t="shared" si="7"/>
        <v>3488684</v>
      </c>
      <c r="J103" s="10"/>
      <c r="K103" s="17"/>
      <c r="L103" s="81"/>
      <c r="M103" s="17"/>
      <c r="N103" s="82">
        <f t="shared" si="9"/>
        <v>91005</v>
      </c>
      <c r="O103" s="17"/>
      <c r="P103" s="87">
        <f t="shared" si="8"/>
        <v>17898</v>
      </c>
      <c r="Q103" s="87">
        <f t="shared" si="10"/>
        <v>108903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5</v>
      </c>
      <c r="D104" s="75"/>
      <c r="E104" s="76">
        <f t="shared" si="4"/>
        <v>86</v>
      </c>
      <c r="F104" s="77">
        <f t="shared" si="12"/>
        <v>28</v>
      </c>
      <c r="G104" s="78" t="str">
        <f t="shared" si="2"/>
        <v>May</v>
      </c>
      <c r="H104" s="79">
        <f t="shared" si="6"/>
        <v>2043</v>
      </c>
      <c r="I104" s="80">
        <f t="shared" si="7"/>
        <v>3397224</v>
      </c>
      <c r="J104" s="10"/>
      <c r="K104" s="17"/>
      <c r="L104" s="81"/>
      <c r="M104" s="17"/>
      <c r="N104" s="82">
        <f t="shared" si="9"/>
        <v>91460</v>
      </c>
      <c r="O104" s="17"/>
      <c r="P104" s="87">
        <f t="shared" si="8"/>
        <v>17443</v>
      </c>
      <c r="Q104" s="87">
        <f t="shared" si="10"/>
        <v>108903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6</v>
      </c>
      <c r="D105" s="75"/>
      <c r="E105" s="76">
        <f t="shared" si="4"/>
        <v>87</v>
      </c>
      <c r="F105" s="77">
        <f t="shared" si="12"/>
        <v>28</v>
      </c>
      <c r="G105" s="78" t="str">
        <f t="shared" si="2"/>
        <v>Jun</v>
      </c>
      <c r="H105" s="79">
        <f t="shared" si="6"/>
        <v>2043</v>
      </c>
      <c r="I105" s="80">
        <f t="shared" si="7"/>
        <v>3305307</v>
      </c>
      <c r="J105" s="10"/>
      <c r="K105" s="17"/>
      <c r="L105" s="81"/>
      <c r="M105" s="17"/>
      <c r="N105" s="82">
        <f t="shared" si="9"/>
        <v>91917</v>
      </c>
      <c r="O105" s="17"/>
      <c r="P105" s="87">
        <f t="shared" si="8"/>
        <v>16986</v>
      </c>
      <c r="Q105" s="87">
        <f t="shared" si="10"/>
        <v>108903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7</v>
      </c>
      <c r="D106" s="75"/>
      <c r="E106" s="76">
        <f t="shared" si="4"/>
        <v>88</v>
      </c>
      <c r="F106" s="77">
        <f t="shared" si="12"/>
        <v>28</v>
      </c>
      <c r="G106" s="78" t="str">
        <f t="shared" si="2"/>
        <v>Jul</v>
      </c>
      <c r="H106" s="79">
        <f t="shared" si="6"/>
        <v>2043</v>
      </c>
      <c r="I106" s="80">
        <f t="shared" si="7"/>
        <v>3212930</v>
      </c>
      <c r="J106" s="10"/>
      <c r="K106" s="17"/>
      <c r="L106" s="81"/>
      <c r="M106" s="17"/>
      <c r="N106" s="82">
        <f t="shared" si="9"/>
        <v>92377</v>
      </c>
      <c r="O106" s="17"/>
      <c r="P106" s="87">
        <f t="shared" si="8"/>
        <v>16526</v>
      </c>
      <c r="Q106" s="87">
        <f t="shared" si="10"/>
        <v>108903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8</v>
      </c>
      <c r="D107" s="75"/>
      <c r="E107" s="76">
        <f t="shared" si="4"/>
        <v>89</v>
      </c>
      <c r="F107" s="77">
        <f t="shared" si="12"/>
        <v>28</v>
      </c>
      <c r="G107" s="78" t="str">
        <f t="shared" si="2"/>
        <v>Ago</v>
      </c>
      <c r="H107" s="79">
        <f t="shared" si="6"/>
        <v>2043</v>
      </c>
      <c r="I107" s="80">
        <f t="shared" si="7"/>
        <v>3120091</v>
      </c>
      <c r="J107" s="10"/>
      <c r="K107" s="17"/>
      <c r="L107" s="81"/>
      <c r="M107" s="17"/>
      <c r="N107" s="82">
        <f t="shared" si="9"/>
        <v>92839</v>
      </c>
      <c r="O107" s="17"/>
      <c r="P107" s="87">
        <f t="shared" si="8"/>
        <v>16064</v>
      </c>
      <c r="Q107" s="87">
        <f t="shared" si="10"/>
        <v>108903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9</v>
      </c>
      <c r="D108" s="75"/>
      <c r="E108" s="76">
        <f t="shared" si="4"/>
        <v>90</v>
      </c>
      <c r="F108" s="77">
        <f t="shared" si="12"/>
        <v>28</v>
      </c>
      <c r="G108" s="78" t="str">
        <f t="shared" si="2"/>
        <v>Sep</v>
      </c>
      <c r="H108" s="79">
        <f t="shared" si="6"/>
        <v>2043</v>
      </c>
      <c r="I108" s="80">
        <f t="shared" si="7"/>
        <v>3026788</v>
      </c>
      <c r="J108" s="10"/>
      <c r="K108" s="17"/>
      <c r="L108" s="81"/>
      <c r="M108" s="17"/>
      <c r="N108" s="82">
        <f t="shared" si="9"/>
        <v>93303</v>
      </c>
      <c r="O108" s="17"/>
      <c r="P108" s="87">
        <f t="shared" si="8"/>
        <v>15600</v>
      </c>
      <c r="Q108" s="87">
        <f t="shared" si="10"/>
        <v>108903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10</v>
      </c>
      <c r="D109" s="75"/>
      <c r="E109" s="76">
        <f t="shared" si="4"/>
        <v>91</v>
      </c>
      <c r="F109" s="77">
        <f t="shared" si="12"/>
        <v>28</v>
      </c>
      <c r="G109" s="78" t="str">
        <f t="shared" si="2"/>
        <v>Oct</v>
      </c>
      <c r="H109" s="79">
        <f t="shared" si="6"/>
        <v>2043</v>
      </c>
      <c r="I109" s="80">
        <f t="shared" si="7"/>
        <v>2933018</v>
      </c>
      <c r="J109" s="10"/>
      <c r="K109" s="17"/>
      <c r="L109" s="81"/>
      <c r="M109" s="17"/>
      <c r="N109" s="82">
        <f t="shared" si="9"/>
        <v>93770</v>
      </c>
      <c r="O109" s="17"/>
      <c r="P109" s="87">
        <f t="shared" si="8"/>
        <v>15133</v>
      </c>
      <c r="Q109" s="87">
        <f t="shared" si="10"/>
        <v>108903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11</v>
      </c>
      <c r="D110" s="75"/>
      <c r="E110" s="76">
        <f t="shared" si="4"/>
        <v>92</v>
      </c>
      <c r="F110" s="77">
        <f t="shared" si="12"/>
        <v>28</v>
      </c>
      <c r="G110" s="78" t="str">
        <f t="shared" si="2"/>
        <v>Nov</v>
      </c>
      <c r="H110" s="79">
        <f t="shared" si="6"/>
        <v>2043</v>
      </c>
      <c r="I110" s="80">
        <f t="shared" si="7"/>
        <v>2838780</v>
      </c>
      <c r="J110" s="10"/>
      <c r="K110" s="17"/>
      <c r="L110" s="81"/>
      <c r="M110" s="17"/>
      <c r="N110" s="82">
        <f t="shared" si="9"/>
        <v>94238</v>
      </c>
      <c r="O110" s="17"/>
      <c r="P110" s="87">
        <f t="shared" si="8"/>
        <v>14665</v>
      </c>
      <c r="Q110" s="87">
        <f t="shared" si="10"/>
        <v>108903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12</v>
      </c>
      <c r="D111" s="75"/>
      <c r="E111" s="76">
        <f t="shared" si="4"/>
        <v>93</v>
      </c>
      <c r="F111" s="77">
        <f t="shared" si="12"/>
        <v>28</v>
      </c>
      <c r="G111" s="78" t="str">
        <f t="shared" si="2"/>
        <v>Dic</v>
      </c>
      <c r="H111" s="79">
        <f t="shared" si="6"/>
        <v>2043</v>
      </c>
      <c r="I111" s="80">
        <f t="shared" si="7"/>
        <v>2744070</v>
      </c>
      <c r="J111" s="10"/>
      <c r="K111" s="17"/>
      <c r="L111" s="81"/>
      <c r="M111" s="17"/>
      <c r="N111" s="82">
        <f t="shared" si="9"/>
        <v>94710</v>
      </c>
      <c r="O111" s="17"/>
      <c r="P111" s="87">
        <f t="shared" si="8"/>
        <v>14193</v>
      </c>
      <c r="Q111" s="87">
        <f t="shared" si="10"/>
        <v>108903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</v>
      </c>
      <c r="D112" s="75"/>
      <c r="E112" s="76">
        <f t="shared" si="4"/>
        <v>94</v>
      </c>
      <c r="F112" s="88">
        <f t="shared" si="12"/>
        <v>28</v>
      </c>
      <c r="G112" s="78" t="str">
        <f t="shared" si="2"/>
        <v>Ene</v>
      </c>
      <c r="H112" s="89">
        <f t="shared" si="6"/>
        <v>2044</v>
      </c>
      <c r="I112" s="80">
        <f t="shared" si="7"/>
        <v>2648887</v>
      </c>
      <c r="J112" s="10"/>
      <c r="K112" s="17"/>
      <c r="L112" s="81"/>
      <c r="M112" s="17"/>
      <c r="N112" s="82">
        <f t="shared" si="9"/>
        <v>95183</v>
      </c>
      <c r="O112" s="17"/>
      <c r="P112" s="87">
        <f t="shared" si="8"/>
        <v>13720</v>
      </c>
      <c r="Q112" s="87">
        <f t="shared" si="10"/>
        <v>108903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2</v>
      </c>
      <c r="D113" s="75"/>
      <c r="E113" s="76">
        <f t="shared" si="4"/>
        <v>95</v>
      </c>
      <c r="F113" s="77">
        <f t="shared" si="12"/>
        <v>28</v>
      </c>
      <c r="G113" s="78" t="str">
        <f t="shared" si="2"/>
        <v>Feb</v>
      </c>
      <c r="H113" s="79">
        <f t="shared" si="6"/>
        <v>2044</v>
      </c>
      <c r="I113" s="80">
        <f t="shared" si="7"/>
        <v>2553228</v>
      </c>
      <c r="J113" s="10"/>
      <c r="K113" s="17"/>
      <c r="L113" s="81"/>
      <c r="M113" s="17"/>
      <c r="N113" s="82">
        <f t="shared" si="9"/>
        <v>95659</v>
      </c>
      <c r="O113" s="17"/>
      <c r="P113" s="87">
        <f t="shared" si="8"/>
        <v>13244</v>
      </c>
      <c r="Q113" s="87">
        <f t="shared" si="10"/>
        <v>108903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3</v>
      </c>
      <c r="D114" s="75"/>
      <c r="E114" s="76">
        <f t="shared" si="4"/>
        <v>96</v>
      </c>
      <c r="F114" s="77">
        <f t="shared" si="12"/>
        <v>28</v>
      </c>
      <c r="G114" s="78" t="str">
        <f t="shared" si="2"/>
        <v>Mar</v>
      </c>
      <c r="H114" s="79">
        <f t="shared" si="6"/>
        <v>2044</v>
      </c>
      <c r="I114" s="80">
        <f t="shared" si="7"/>
        <v>2457091</v>
      </c>
      <c r="J114" s="10"/>
      <c r="K114" s="17"/>
      <c r="L114" s="81"/>
      <c r="M114" s="17"/>
      <c r="N114" s="82">
        <f t="shared" si="9"/>
        <v>96137</v>
      </c>
      <c r="O114" s="17"/>
      <c r="P114" s="87">
        <f t="shared" si="8"/>
        <v>12766</v>
      </c>
      <c r="Q114" s="87">
        <f t="shared" si="10"/>
        <v>108903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4</v>
      </c>
      <c r="D115" s="75"/>
      <c r="E115" s="76">
        <f t="shared" si="4"/>
        <v>97</v>
      </c>
      <c r="F115" s="77">
        <f t="shared" si="12"/>
        <v>28</v>
      </c>
      <c r="G115" s="78" t="str">
        <f t="shared" si="2"/>
        <v>Abr</v>
      </c>
      <c r="H115" s="79">
        <f t="shared" si="6"/>
        <v>2044</v>
      </c>
      <c r="I115" s="80">
        <f t="shared" si="7"/>
        <v>2360473</v>
      </c>
      <c r="J115" s="10"/>
      <c r="K115" s="17"/>
      <c r="L115" s="81"/>
      <c r="M115" s="17"/>
      <c r="N115" s="82">
        <f t="shared" si="9"/>
        <v>96618</v>
      </c>
      <c r="O115" s="17"/>
      <c r="P115" s="87">
        <f t="shared" si="8"/>
        <v>12285</v>
      </c>
      <c r="Q115" s="87">
        <f t="shared" si="10"/>
        <v>108903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5</v>
      </c>
      <c r="D116" s="75"/>
      <c r="E116" s="76">
        <f t="shared" si="4"/>
        <v>98</v>
      </c>
      <c r="F116" s="77">
        <f t="shared" si="12"/>
        <v>28</v>
      </c>
      <c r="G116" s="78" t="str">
        <f t="shared" si="2"/>
        <v>May</v>
      </c>
      <c r="H116" s="79">
        <f t="shared" si="6"/>
        <v>2044</v>
      </c>
      <c r="I116" s="80">
        <f t="shared" si="7"/>
        <v>2263372</v>
      </c>
      <c r="J116" s="10"/>
      <c r="K116" s="17"/>
      <c r="L116" s="81"/>
      <c r="M116" s="17"/>
      <c r="N116" s="82">
        <f t="shared" si="9"/>
        <v>97101</v>
      </c>
      <c r="O116" s="17"/>
      <c r="P116" s="87">
        <f t="shared" si="8"/>
        <v>11802</v>
      </c>
      <c r="Q116" s="87">
        <f t="shared" si="10"/>
        <v>108903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6</v>
      </c>
      <c r="D117" s="75"/>
      <c r="E117" s="76">
        <f t="shared" si="4"/>
        <v>99</v>
      </c>
      <c r="F117" s="77">
        <f t="shared" si="12"/>
        <v>28</v>
      </c>
      <c r="G117" s="78" t="str">
        <f t="shared" si="2"/>
        <v>Jun</v>
      </c>
      <c r="H117" s="79">
        <f t="shared" si="6"/>
        <v>2044</v>
      </c>
      <c r="I117" s="80">
        <f t="shared" si="7"/>
        <v>2165785</v>
      </c>
      <c r="J117" s="10"/>
      <c r="K117" s="17"/>
      <c r="L117" s="81"/>
      <c r="M117" s="17"/>
      <c r="N117" s="82">
        <f t="shared" si="9"/>
        <v>97587</v>
      </c>
      <c r="O117" s="17"/>
      <c r="P117" s="87">
        <f t="shared" si="8"/>
        <v>11316</v>
      </c>
      <c r="Q117" s="87">
        <f t="shared" si="10"/>
        <v>108903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7</v>
      </c>
      <c r="D118" s="75"/>
      <c r="E118" s="76">
        <f t="shared" si="4"/>
        <v>100</v>
      </c>
      <c r="F118" s="77">
        <f t="shared" si="12"/>
        <v>28</v>
      </c>
      <c r="G118" s="78" t="str">
        <f t="shared" si="2"/>
        <v>Jul</v>
      </c>
      <c r="H118" s="79">
        <f t="shared" si="6"/>
        <v>2044</v>
      </c>
      <c r="I118" s="80">
        <f t="shared" si="7"/>
        <v>2067710</v>
      </c>
      <c r="J118" s="10"/>
      <c r="K118" s="17"/>
      <c r="L118" s="81"/>
      <c r="M118" s="17"/>
      <c r="N118" s="82">
        <f t="shared" si="9"/>
        <v>98075</v>
      </c>
      <c r="O118" s="17"/>
      <c r="P118" s="87">
        <f t="shared" si="8"/>
        <v>10828</v>
      </c>
      <c r="Q118" s="87">
        <f t="shared" si="10"/>
        <v>108903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8</v>
      </c>
      <c r="D119" s="75"/>
      <c r="E119" s="76">
        <f t="shared" si="4"/>
        <v>101</v>
      </c>
      <c r="F119" s="77">
        <f t="shared" si="12"/>
        <v>28</v>
      </c>
      <c r="G119" s="78" t="str">
        <f t="shared" si="2"/>
        <v>Ago</v>
      </c>
      <c r="H119" s="79">
        <f t="shared" si="6"/>
        <v>2044</v>
      </c>
      <c r="I119" s="80">
        <f t="shared" si="7"/>
        <v>1969145</v>
      </c>
      <c r="J119" s="10"/>
      <c r="K119" s="17"/>
      <c r="L119" s="81"/>
      <c r="M119" s="17"/>
      <c r="N119" s="82">
        <f t="shared" si="9"/>
        <v>98565</v>
      </c>
      <c r="O119" s="17"/>
      <c r="P119" s="87">
        <f t="shared" si="8"/>
        <v>10338</v>
      </c>
      <c r="Q119" s="87">
        <f t="shared" si="10"/>
        <v>108903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9</v>
      </c>
      <c r="D120" s="75"/>
      <c r="E120" s="76">
        <f t="shared" si="4"/>
        <v>102</v>
      </c>
      <c r="F120" s="77">
        <f t="shared" si="12"/>
        <v>28</v>
      </c>
      <c r="G120" s="78" t="str">
        <f t="shared" si="2"/>
        <v>Sep</v>
      </c>
      <c r="H120" s="79">
        <f t="shared" si="6"/>
        <v>2044</v>
      </c>
      <c r="I120" s="80">
        <f t="shared" si="7"/>
        <v>1870087</v>
      </c>
      <c r="J120" s="10"/>
      <c r="K120" s="17"/>
      <c r="L120" s="81"/>
      <c r="M120" s="17"/>
      <c r="N120" s="82">
        <f t="shared" si="9"/>
        <v>99058</v>
      </c>
      <c r="O120" s="17"/>
      <c r="P120" s="87">
        <f t="shared" si="8"/>
        <v>9845</v>
      </c>
      <c r="Q120" s="87">
        <f t="shared" si="10"/>
        <v>108903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10</v>
      </c>
      <c r="D121" s="75"/>
      <c r="E121" s="76">
        <f t="shared" si="4"/>
        <v>103</v>
      </c>
      <c r="F121" s="77">
        <f t="shared" si="12"/>
        <v>28</v>
      </c>
      <c r="G121" s="78" t="str">
        <f t="shared" si="2"/>
        <v>Oct</v>
      </c>
      <c r="H121" s="79">
        <f t="shared" si="6"/>
        <v>2044</v>
      </c>
      <c r="I121" s="80">
        <f t="shared" si="7"/>
        <v>1770534</v>
      </c>
      <c r="J121" s="10"/>
      <c r="K121" s="17"/>
      <c r="L121" s="81"/>
      <c r="M121" s="17"/>
      <c r="N121" s="82">
        <f t="shared" si="9"/>
        <v>99553</v>
      </c>
      <c r="O121" s="17"/>
      <c r="P121" s="87">
        <f t="shared" si="8"/>
        <v>9350</v>
      </c>
      <c r="Q121" s="87">
        <f t="shared" si="10"/>
        <v>108903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11</v>
      </c>
      <c r="D122" s="75"/>
      <c r="E122" s="76">
        <f t="shared" si="4"/>
        <v>104</v>
      </c>
      <c r="F122" s="77">
        <f t="shared" si="12"/>
        <v>28</v>
      </c>
      <c r="G122" s="78" t="str">
        <f t="shared" si="2"/>
        <v>Nov</v>
      </c>
      <c r="H122" s="79">
        <f t="shared" si="6"/>
        <v>2044</v>
      </c>
      <c r="I122" s="80">
        <f t="shared" si="7"/>
        <v>1670483</v>
      </c>
      <c r="J122" s="10"/>
      <c r="K122" s="17"/>
      <c r="L122" s="81"/>
      <c r="M122" s="17"/>
      <c r="N122" s="82">
        <f t="shared" si="9"/>
        <v>100051</v>
      </c>
      <c r="O122" s="17"/>
      <c r="P122" s="87">
        <f t="shared" si="8"/>
        <v>8852</v>
      </c>
      <c r="Q122" s="87">
        <f t="shared" si="10"/>
        <v>108903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12</v>
      </c>
      <c r="D123" s="75"/>
      <c r="E123" s="76">
        <f t="shared" si="4"/>
        <v>105</v>
      </c>
      <c r="F123" s="77">
        <f t="shared" si="12"/>
        <v>28</v>
      </c>
      <c r="G123" s="78" t="str">
        <f t="shared" si="2"/>
        <v>Dic</v>
      </c>
      <c r="H123" s="79">
        <f t="shared" si="6"/>
        <v>2044</v>
      </c>
      <c r="I123" s="80">
        <f t="shared" si="7"/>
        <v>1569932</v>
      </c>
      <c r="J123" s="10"/>
      <c r="K123" s="17"/>
      <c r="L123" s="81"/>
      <c r="M123" s="17"/>
      <c r="N123" s="82">
        <f t="shared" si="9"/>
        <v>100551</v>
      </c>
      <c r="O123" s="17"/>
      <c r="P123" s="87">
        <f t="shared" si="8"/>
        <v>8352</v>
      </c>
      <c r="Q123" s="87">
        <f t="shared" si="10"/>
        <v>108903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</v>
      </c>
      <c r="D124" s="75"/>
      <c r="E124" s="76">
        <f t="shared" si="4"/>
        <v>106</v>
      </c>
      <c r="F124" s="88">
        <f t="shared" si="12"/>
        <v>28</v>
      </c>
      <c r="G124" s="78" t="str">
        <f t="shared" si="2"/>
        <v>Ene</v>
      </c>
      <c r="H124" s="89">
        <f t="shared" si="6"/>
        <v>2045</v>
      </c>
      <c r="I124" s="80">
        <f t="shared" si="7"/>
        <v>1468878</v>
      </c>
      <c r="J124" s="10"/>
      <c r="K124" s="17"/>
      <c r="L124" s="81"/>
      <c r="M124" s="17"/>
      <c r="N124" s="82">
        <f t="shared" si="9"/>
        <v>101054</v>
      </c>
      <c r="O124" s="17"/>
      <c r="P124" s="87">
        <f t="shared" si="8"/>
        <v>7849</v>
      </c>
      <c r="Q124" s="87">
        <f t="shared" si="10"/>
        <v>108903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2</v>
      </c>
      <c r="D125" s="75"/>
      <c r="E125" s="76">
        <f t="shared" si="4"/>
        <v>107</v>
      </c>
      <c r="F125" s="77">
        <f t="shared" si="12"/>
        <v>28</v>
      </c>
      <c r="G125" s="78" t="str">
        <f t="shared" si="2"/>
        <v>Feb</v>
      </c>
      <c r="H125" s="79">
        <f t="shared" si="6"/>
        <v>2045</v>
      </c>
      <c r="I125" s="80">
        <f t="shared" si="7"/>
        <v>1367319</v>
      </c>
      <c r="J125" s="10"/>
      <c r="K125" s="17"/>
      <c r="L125" s="81"/>
      <c r="M125" s="17"/>
      <c r="N125" s="82">
        <f t="shared" si="9"/>
        <v>101559</v>
      </c>
      <c r="O125" s="17"/>
      <c r="P125" s="87">
        <f t="shared" si="8"/>
        <v>7344</v>
      </c>
      <c r="Q125" s="87">
        <f t="shared" si="10"/>
        <v>108903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3</v>
      </c>
      <c r="D126" s="75"/>
      <c r="E126" s="76">
        <f t="shared" si="4"/>
        <v>108</v>
      </c>
      <c r="F126" s="77">
        <f t="shared" si="12"/>
        <v>28</v>
      </c>
      <c r="G126" s="78" t="str">
        <f t="shared" si="2"/>
        <v>Mar</v>
      </c>
      <c r="H126" s="79">
        <f t="shared" si="6"/>
        <v>2045</v>
      </c>
      <c r="I126" s="80">
        <f t="shared" si="7"/>
        <v>1265252</v>
      </c>
      <c r="J126" s="10"/>
      <c r="K126" s="17"/>
      <c r="L126" s="81"/>
      <c r="M126" s="17"/>
      <c r="N126" s="82">
        <f t="shared" si="9"/>
        <v>102067</v>
      </c>
      <c r="O126" s="17"/>
      <c r="P126" s="87">
        <f t="shared" si="8"/>
        <v>6836</v>
      </c>
      <c r="Q126" s="87">
        <f t="shared" si="10"/>
        <v>108903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4</v>
      </c>
      <c r="D127" s="75"/>
      <c r="E127" s="76">
        <f t="shared" si="4"/>
        <v>109</v>
      </c>
      <c r="F127" s="77">
        <f t="shared" si="12"/>
        <v>28</v>
      </c>
      <c r="G127" s="78" t="str">
        <f t="shared" si="2"/>
        <v>Abr</v>
      </c>
      <c r="H127" s="79">
        <f t="shared" si="6"/>
        <v>2045</v>
      </c>
      <c r="I127" s="80">
        <f t="shared" si="7"/>
        <v>1162675</v>
      </c>
      <c r="J127" s="10"/>
      <c r="K127" s="17"/>
      <c r="L127" s="81"/>
      <c r="M127" s="17"/>
      <c r="N127" s="82">
        <f t="shared" si="9"/>
        <v>102577</v>
      </c>
      <c r="O127" s="17"/>
      <c r="P127" s="87">
        <f t="shared" si="8"/>
        <v>6326</v>
      </c>
      <c r="Q127" s="87">
        <f t="shared" si="10"/>
        <v>108903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5</v>
      </c>
      <c r="D128" s="75"/>
      <c r="E128" s="76">
        <f t="shared" si="4"/>
        <v>110</v>
      </c>
      <c r="F128" s="77">
        <f t="shared" si="12"/>
        <v>28</v>
      </c>
      <c r="G128" s="78" t="str">
        <f t="shared" si="2"/>
        <v>May</v>
      </c>
      <c r="H128" s="79">
        <f t="shared" si="6"/>
        <v>2045</v>
      </c>
      <c r="I128" s="80">
        <f t="shared" si="7"/>
        <v>1059585</v>
      </c>
      <c r="J128" s="10"/>
      <c r="K128" s="17"/>
      <c r="L128" s="81"/>
      <c r="M128" s="17"/>
      <c r="N128" s="82">
        <f t="shared" si="9"/>
        <v>103090</v>
      </c>
      <c r="O128" s="17"/>
      <c r="P128" s="87">
        <f t="shared" si="8"/>
        <v>5813</v>
      </c>
      <c r="Q128" s="87">
        <f t="shared" si="10"/>
        <v>108903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6</v>
      </c>
      <c r="D129" s="75"/>
      <c r="E129" s="92"/>
      <c r="F129" s="10"/>
      <c r="G129" s="10"/>
      <c r="H129" s="10"/>
      <c r="I129" s="10"/>
      <c r="J129" s="10"/>
      <c r="K129" s="17"/>
      <c r="L129" s="82">
        <f>SUM(L19:L78)</f>
        <v>0</v>
      </c>
      <c r="M129" s="17"/>
      <c r="N129" s="82">
        <f>SUM(N19:N128)</f>
        <v>8749678</v>
      </c>
      <c r="O129" s="17"/>
      <c r="P129" s="83">
        <f t="shared" ref="P129:Q129" si="13">SUM(P19:P128)</f>
        <v>3229652</v>
      </c>
      <c r="Q129" s="83">
        <f t="shared" si="13"/>
        <v>11979330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7</v>
      </c>
      <c r="D130" s="75"/>
      <c r="E130" s="93"/>
      <c r="F130" s="94"/>
      <c r="G130" s="94"/>
      <c r="H130" s="94"/>
      <c r="I130" s="94"/>
      <c r="J130" s="94"/>
      <c r="K130" s="94"/>
      <c r="L130" s="94"/>
      <c r="M130" s="95"/>
      <c r="N130" s="95"/>
      <c r="O130" s="2"/>
      <c r="P130" s="2"/>
      <c r="Q130" s="96"/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8</v>
      </c>
      <c r="D131" s="75"/>
      <c r="E131" s="93"/>
      <c r="F131" s="94"/>
      <c r="G131" s="94"/>
      <c r="H131" s="94"/>
      <c r="I131" s="94"/>
      <c r="J131" s="94"/>
      <c r="K131" s="94"/>
      <c r="L131" s="94"/>
      <c r="M131" s="95"/>
      <c r="N131" s="95"/>
      <c r="O131" s="2"/>
      <c r="P131" s="2"/>
      <c r="Q131" s="96"/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9</v>
      </c>
      <c r="D132" s="75"/>
      <c r="E132" s="93"/>
      <c r="F132" s="94"/>
      <c r="G132" s="94"/>
      <c r="H132" s="94"/>
      <c r="I132" s="94"/>
      <c r="J132" s="94"/>
      <c r="K132" s="94"/>
      <c r="L132" s="94"/>
      <c r="M132" s="95"/>
      <c r="N132" s="95"/>
      <c r="O132" s="2"/>
      <c r="P132" s="2"/>
      <c r="Q132" s="96"/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10</v>
      </c>
      <c r="D133" s="75"/>
      <c r="E133" s="93"/>
      <c r="F133" s="94"/>
      <c r="G133" s="94"/>
      <c r="H133" s="94"/>
      <c r="I133" s="94"/>
      <c r="J133" s="94"/>
      <c r="K133" s="94"/>
      <c r="L133" s="94"/>
      <c r="M133" s="95"/>
      <c r="N133" s="95"/>
      <c r="O133" s="2"/>
      <c r="P133" s="2"/>
      <c r="Q133" s="96"/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11</v>
      </c>
      <c r="D134" s="75"/>
      <c r="E134" s="93"/>
      <c r="F134" s="94"/>
      <c r="G134" s="94"/>
      <c r="H134" s="94"/>
      <c r="I134" s="94"/>
      <c r="J134" s="94"/>
      <c r="K134" s="94"/>
      <c r="L134" s="94"/>
      <c r="M134" s="95"/>
      <c r="N134" s="95"/>
      <c r="O134" s="2"/>
      <c r="P134" s="2"/>
      <c r="Q134" s="96"/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12</v>
      </c>
      <c r="D135" s="75"/>
      <c r="E135" s="93"/>
      <c r="F135" s="94"/>
      <c r="G135" s="94"/>
      <c r="H135" s="94"/>
      <c r="I135" s="94"/>
      <c r="J135" s="94"/>
      <c r="K135" s="94"/>
      <c r="L135" s="94"/>
      <c r="M135" s="95"/>
      <c r="N135" s="95"/>
      <c r="O135" s="2"/>
      <c r="P135" s="2"/>
      <c r="Q135" s="96"/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</v>
      </c>
      <c r="D136" s="75"/>
      <c r="E136" s="93"/>
      <c r="F136" s="94"/>
      <c r="G136" s="94"/>
      <c r="H136" s="94"/>
      <c r="I136" s="94"/>
      <c r="J136" s="94"/>
      <c r="K136" s="94"/>
      <c r="L136" s="94"/>
      <c r="M136" s="95"/>
      <c r="N136" s="95"/>
      <c r="O136" s="2"/>
      <c r="P136" s="2"/>
      <c r="Q136" s="96"/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2</v>
      </c>
      <c r="D137" s="75"/>
      <c r="E137" s="93"/>
      <c r="F137" s="94"/>
      <c r="G137" s="94"/>
      <c r="H137" s="94"/>
      <c r="I137" s="94"/>
      <c r="J137" s="94"/>
      <c r="K137" s="94"/>
      <c r="L137" s="94"/>
      <c r="M137" s="95"/>
      <c r="N137" s="95"/>
      <c r="O137" s="2"/>
      <c r="P137" s="2"/>
      <c r="Q137" s="96"/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3</v>
      </c>
      <c r="D138" s="75"/>
      <c r="E138" s="93"/>
      <c r="F138" s="94"/>
      <c r="G138" s="94"/>
      <c r="H138" s="94"/>
      <c r="I138" s="94"/>
      <c r="J138" s="94"/>
      <c r="K138" s="94"/>
      <c r="L138" s="94"/>
      <c r="M138" s="95"/>
      <c r="N138" s="95"/>
      <c r="O138" s="2"/>
      <c r="P138" s="2"/>
      <c r="Q138" s="96"/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4</v>
      </c>
      <c r="D139" s="75"/>
      <c r="E139" s="93"/>
      <c r="F139" s="94"/>
      <c r="G139" s="94"/>
      <c r="H139" s="94"/>
      <c r="I139" s="94"/>
      <c r="J139" s="94"/>
      <c r="K139" s="94"/>
      <c r="L139" s="94"/>
      <c r="M139" s="95"/>
      <c r="N139" s="95"/>
      <c r="O139" s="2"/>
      <c r="P139" s="2"/>
      <c r="Q139" s="96"/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5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6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7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8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9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10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11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12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2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3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4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5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6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7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8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9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10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11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12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2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3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4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5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6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7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8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5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I127:K127"/>
    <mergeCell ref="L127:M127"/>
    <mergeCell ref="N127:O127"/>
    <mergeCell ref="I128:K128"/>
    <mergeCell ref="L128:M128"/>
    <mergeCell ref="N128:O12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E129:K129"/>
    <mergeCell ref="L129:M129"/>
    <mergeCell ref="N129:O129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28">
    <cfRule type="cellIs" dxfId="0" priority="2" stopIfTrue="1" operator="equal">
      <formula>"Pago mayor"</formula>
    </cfRule>
  </conditionalFormatting>
  <conditionalFormatting sqref="I19:I12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38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1.8999242E7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28.0</v>
      </c>
      <c r="J8" s="39">
        <v>5.0</v>
      </c>
      <c r="K8" s="40">
        <v>2045.0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18999242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18999242</v>
      </c>
      <c r="O15" s="17"/>
      <c r="P15" s="65">
        <f t="shared" ref="P15:Q15" si="1">P139</f>
        <v>6312320</v>
      </c>
      <c r="Q15" s="66">
        <f t="shared" si="1"/>
        <v>25311562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5</v>
      </c>
      <c r="D18" s="75"/>
      <c r="E18" s="76">
        <v>0.0</v>
      </c>
      <c r="F18" s="77">
        <f>I8</f>
        <v>28</v>
      </c>
      <c r="G18" s="78" t="str">
        <f t="shared" ref="G18:G138" si="2">VLOOKUP(C18,$A$19:$B$30,2)</f>
        <v>May</v>
      </c>
      <c r="H18" s="79">
        <f>K8</f>
        <v>2045</v>
      </c>
      <c r="I18" s="80">
        <f>I5</f>
        <v>18999242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6</v>
      </c>
      <c r="D19" s="75"/>
      <c r="E19" s="76">
        <f t="shared" ref="E19:E138" si="4">IF($I$7&gt;=A19,A19,"0")</f>
        <v>1</v>
      </c>
      <c r="F19" s="85">
        <f t="shared" ref="F19:F67" si="5">$F$18</f>
        <v>28</v>
      </c>
      <c r="G19" s="78" t="str">
        <f t="shared" si="2"/>
        <v>Jun</v>
      </c>
      <c r="H19" s="86">
        <f t="shared" ref="H19:H138" si="6">IF(C19&gt;C18,H18,H18+1)</f>
        <v>2045</v>
      </c>
      <c r="I19" s="80">
        <f t="shared" ref="I19:I138" si="7">IF((I18-N19-L19)&lt;0,"Excede pago",IF((I18-N19-L19)=0,"0",ROUNDDOWN((I18-N19-L19),0)))</f>
        <v>18883307</v>
      </c>
      <c r="J19" s="10"/>
      <c r="K19" s="17"/>
      <c r="L19" s="81"/>
      <c r="M19" s="17"/>
      <c r="N19" s="82">
        <f>ROUND(($Q$19-$P$19-$L$19),0)</f>
        <v>115935</v>
      </c>
      <c r="O19" s="17"/>
      <c r="P19" s="87">
        <f t="shared" ref="P19:P138" si="8">ROUNDDOWN((I18*$I$6),0)</f>
        <v>94996</v>
      </c>
      <c r="Q19" s="87">
        <f>ROUND((-PMT($I$6,$I$7,$I$5,0,0)+L19),0)</f>
        <v>210931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7</v>
      </c>
      <c r="D20" s="75"/>
      <c r="E20" s="76">
        <f t="shared" si="4"/>
        <v>2</v>
      </c>
      <c r="F20" s="77">
        <f t="shared" si="5"/>
        <v>28</v>
      </c>
      <c r="G20" s="78" t="str">
        <f t="shared" si="2"/>
        <v>Jul</v>
      </c>
      <c r="H20" s="79">
        <f t="shared" si="6"/>
        <v>2045</v>
      </c>
      <c r="I20" s="80">
        <f t="shared" si="7"/>
        <v>18766792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116515</v>
      </c>
      <c r="O20" s="17"/>
      <c r="P20" s="87">
        <f t="shared" si="8"/>
        <v>94416</v>
      </c>
      <c r="Q20" s="87">
        <f t="shared" ref="Q20:Q138" si="10">SUM(L20:P20)</f>
        <v>210931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8</v>
      </c>
      <c r="D21" s="75"/>
      <c r="E21" s="76">
        <f t="shared" si="4"/>
        <v>3</v>
      </c>
      <c r="F21" s="88">
        <f t="shared" si="5"/>
        <v>28</v>
      </c>
      <c r="G21" s="78" t="str">
        <f t="shared" si="2"/>
        <v>Ago</v>
      </c>
      <c r="H21" s="89">
        <f t="shared" si="6"/>
        <v>2045</v>
      </c>
      <c r="I21" s="80">
        <f t="shared" si="7"/>
        <v>18649694</v>
      </c>
      <c r="J21" s="10"/>
      <c r="K21" s="17"/>
      <c r="L21" s="81"/>
      <c r="M21" s="17"/>
      <c r="N21" s="82">
        <f t="shared" si="9"/>
        <v>117098</v>
      </c>
      <c r="O21" s="17"/>
      <c r="P21" s="87">
        <f t="shared" si="8"/>
        <v>93833</v>
      </c>
      <c r="Q21" s="87">
        <f t="shared" si="10"/>
        <v>210931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9</v>
      </c>
      <c r="D22" s="75"/>
      <c r="E22" s="76">
        <f t="shared" si="4"/>
        <v>4</v>
      </c>
      <c r="F22" s="77">
        <f t="shared" si="5"/>
        <v>28</v>
      </c>
      <c r="G22" s="78" t="str">
        <f t="shared" si="2"/>
        <v>Sep</v>
      </c>
      <c r="H22" s="79">
        <f t="shared" si="6"/>
        <v>2045</v>
      </c>
      <c r="I22" s="80">
        <f t="shared" si="7"/>
        <v>18532011</v>
      </c>
      <c r="J22" s="10"/>
      <c r="K22" s="17"/>
      <c r="L22" s="81"/>
      <c r="M22" s="17"/>
      <c r="N22" s="82">
        <f t="shared" si="9"/>
        <v>117683</v>
      </c>
      <c r="O22" s="17"/>
      <c r="P22" s="87">
        <f t="shared" si="8"/>
        <v>93248</v>
      </c>
      <c r="Q22" s="87">
        <f t="shared" si="10"/>
        <v>210931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10</v>
      </c>
      <c r="D23" s="75"/>
      <c r="E23" s="76">
        <f t="shared" si="4"/>
        <v>5</v>
      </c>
      <c r="F23" s="88">
        <f t="shared" si="5"/>
        <v>28</v>
      </c>
      <c r="G23" s="78" t="str">
        <f t="shared" si="2"/>
        <v>Oct</v>
      </c>
      <c r="H23" s="89">
        <f t="shared" si="6"/>
        <v>2045</v>
      </c>
      <c r="I23" s="80">
        <f t="shared" si="7"/>
        <v>18413740</v>
      </c>
      <c r="J23" s="10"/>
      <c r="K23" s="17"/>
      <c r="L23" s="81"/>
      <c r="M23" s="17"/>
      <c r="N23" s="82">
        <f t="shared" si="9"/>
        <v>118271</v>
      </c>
      <c r="O23" s="17"/>
      <c r="P23" s="87">
        <f t="shared" si="8"/>
        <v>92660</v>
      </c>
      <c r="Q23" s="87">
        <f t="shared" si="10"/>
        <v>210931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11</v>
      </c>
      <c r="D24" s="75"/>
      <c r="E24" s="76">
        <f t="shared" si="4"/>
        <v>6</v>
      </c>
      <c r="F24" s="77">
        <f t="shared" si="5"/>
        <v>28</v>
      </c>
      <c r="G24" s="78" t="str">
        <f t="shared" si="2"/>
        <v>Nov</v>
      </c>
      <c r="H24" s="79">
        <f t="shared" si="6"/>
        <v>2045</v>
      </c>
      <c r="I24" s="80">
        <f t="shared" si="7"/>
        <v>18294877</v>
      </c>
      <c r="J24" s="10"/>
      <c r="K24" s="17"/>
      <c r="L24" s="81"/>
      <c r="M24" s="17"/>
      <c r="N24" s="82">
        <f t="shared" si="9"/>
        <v>118863</v>
      </c>
      <c r="O24" s="17"/>
      <c r="P24" s="87">
        <f t="shared" si="8"/>
        <v>92068</v>
      </c>
      <c r="Q24" s="87">
        <f t="shared" si="10"/>
        <v>210931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12</v>
      </c>
      <c r="D25" s="75"/>
      <c r="E25" s="76">
        <f t="shared" si="4"/>
        <v>7</v>
      </c>
      <c r="F25" s="77">
        <f t="shared" si="5"/>
        <v>28</v>
      </c>
      <c r="G25" s="78" t="str">
        <f t="shared" si="2"/>
        <v>Dic</v>
      </c>
      <c r="H25" s="79">
        <f t="shared" si="6"/>
        <v>2045</v>
      </c>
      <c r="I25" s="80">
        <f t="shared" si="7"/>
        <v>18175420</v>
      </c>
      <c r="J25" s="10"/>
      <c r="K25" s="17"/>
      <c r="L25" s="81"/>
      <c r="M25" s="17"/>
      <c r="N25" s="82">
        <f t="shared" si="9"/>
        <v>119457</v>
      </c>
      <c r="O25" s="17"/>
      <c r="P25" s="87">
        <f t="shared" si="8"/>
        <v>91474</v>
      </c>
      <c r="Q25" s="87">
        <f t="shared" si="10"/>
        <v>210931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1</v>
      </c>
      <c r="D26" s="75"/>
      <c r="E26" s="76">
        <f t="shared" si="4"/>
        <v>8</v>
      </c>
      <c r="F26" s="85">
        <f t="shared" si="5"/>
        <v>28</v>
      </c>
      <c r="G26" s="78" t="str">
        <f t="shared" si="2"/>
        <v>Ene</v>
      </c>
      <c r="H26" s="86">
        <f t="shared" si="6"/>
        <v>2046</v>
      </c>
      <c r="I26" s="80">
        <f t="shared" si="7"/>
        <v>18055366</v>
      </c>
      <c r="J26" s="10"/>
      <c r="K26" s="17"/>
      <c r="L26" s="81"/>
      <c r="M26" s="17"/>
      <c r="N26" s="82">
        <f t="shared" si="9"/>
        <v>120054</v>
      </c>
      <c r="O26" s="17"/>
      <c r="P26" s="87">
        <f t="shared" si="8"/>
        <v>90877</v>
      </c>
      <c r="Q26" s="87">
        <f t="shared" si="10"/>
        <v>210931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2</v>
      </c>
      <c r="D27" s="75"/>
      <c r="E27" s="76">
        <f t="shared" si="4"/>
        <v>9</v>
      </c>
      <c r="F27" s="77">
        <f t="shared" si="5"/>
        <v>28</v>
      </c>
      <c r="G27" s="78" t="str">
        <f t="shared" si="2"/>
        <v>Feb</v>
      </c>
      <c r="H27" s="79">
        <f t="shared" si="6"/>
        <v>2046</v>
      </c>
      <c r="I27" s="80">
        <f t="shared" si="7"/>
        <v>17934711</v>
      </c>
      <c r="J27" s="10"/>
      <c r="K27" s="17"/>
      <c r="L27" s="81"/>
      <c r="M27" s="17"/>
      <c r="N27" s="82">
        <f t="shared" si="9"/>
        <v>120655</v>
      </c>
      <c r="O27" s="17"/>
      <c r="P27" s="87">
        <f t="shared" si="8"/>
        <v>90276</v>
      </c>
      <c r="Q27" s="87">
        <f t="shared" si="10"/>
        <v>210931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3</v>
      </c>
      <c r="D28" s="75"/>
      <c r="E28" s="76">
        <f t="shared" si="4"/>
        <v>10</v>
      </c>
      <c r="F28" s="88">
        <f t="shared" si="5"/>
        <v>28</v>
      </c>
      <c r="G28" s="78" t="str">
        <f t="shared" si="2"/>
        <v>Mar</v>
      </c>
      <c r="H28" s="89">
        <f t="shared" si="6"/>
        <v>2046</v>
      </c>
      <c r="I28" s="80">
        <f t="shared" si="7"/>
        <v>17813453</v>
      </c>
      <c r="J28" s="10"/>
      <c r="K28" s="17"/>
      <c r="L28" s="81"/>
      <c r="M28" s="17"/>
      <c r="N28" s="82">
        <f t="shared" si="9"/>
        <v>121258</v>
      </c>
      <c r="O28" s="17"/>
      <c r="P28" s="87">
        <f t="shared" si="8"/>
        <v>89673</v>
      </c>
      <c r="Q28" s="87">
        <f t="shared" si="10"/>
        <v>210931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4</v>
      </c>
      <c r="D29" s="75"/>
      <c r="E29" s="76">
        <f t="shared" si="4"/>
        <v>11</v>
      </c>
      <c r="F29" s="77">
        <f t="shared" si="5"/>
        <v>28</v>
      </c>
      <c r="G29" s="78" t="str">
        <f t="shared" si="2"/>
        <v>Abr</v>
      </c>
      <c r="H29" s="79">
        <f t="shared" si="6"/>
        <v>2046</v>
      </c>
      <c r="I29" s="80">
        <f t="shared" si="7"/>
        <v>17691589</v>
      </c>
      <c r="J29" s="10"/>
      <c r="K29" s="17"/>
      <c r="L29" s="81"/>
      <c r="M29" s="17"/>
      <c r="N29" s="82">
        <f t="shared" si="9"/>
        <v>121864</v>
      </c>
      <c r="O29" s="17"/>
      <c r="P29" s="87">
        <f t="shared" si="8"/>
        <v>89067</v>
      </c>
      <c r="Q29" s="87">
        <f t="shared" si="10"/>
        <v>210931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5</v>
      </c>
      <c r="D30" s="75"/>
      <c r="E30" s="76">
        <f t="shared" si="4"/>
        <v>12</v>
      </c>
      <c r="F30" s="77">
        <f t="shared" si="5"/>
        <v>28</v>
      </c>
      <c r="G30" s="78" t="str">
        <f t="shared" si="2"/>
        <v>May</v>
      </c>
      <c r="H30" s="79">
        <f t="shared" si="6"/>
        <v>2046</v>
      </c>
      <c r="I30" s="80">
        <f t="shared" si="7"/>
        <v>17569115</v>
      </c>
      <c r="J30" s="10"/>
      <c r="K30" s="17"/>
      <c r="L30" s="81"/>
      <c r="M30" s="17"/>
      <c r="N30" s="82">
        <f t="shared" si="9"/>
        <v>122474</v>
      </c>
      <c r="O30" s="17"/>
      <c r="P30" s="87">
        <f t="shared" si="8"/>
        <v>88457</v>
      </c>
      <c r="Q30" s="87">
        <f t="shared" si="10"/>
        <v>210931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6</v>
      </c>
      <c r="D31" s="75"/>
      <c r="E31" s="76">
        <f t="shared" si="4"/>
        <v>13</v>
      </c>
      <c r="F31" s="77">
        <f t="shared" si="5"/>
        <v>28</v>
      </c>
      <c r="G31" s="78" t="str">
        <f t="shared" si="2"/>
        <v>Jun</v>
      </c>
      <c r="H31" s="79">
        <f t="shared" si="6"/>
        <v>2046</v>
      </c>
      <c r="I31" s="80">
        <f t="shared" si="7"/>
        <v>17446029</v>
      </c>
      <c r="J31" s="10"/>
      <c r="K31" s="17"/>
      <c r="L31" s="81"/>
      <c r="M31" s="17"/>
      <c r="N31" s="82">
        <f t="shared" si="9"/>
        <v>123086</v>
      </c>
      <c r="O31" s="17"/>
      <c r="P31" s="87">
        <f t="shared" si="8"/>
        <v>87845</v>
      </c>
      <c r="Q31" s="87">
        <f t="shared" si="10"/>
        <v>210931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7</v>
      </c>
      <c r="D32" s="75"/>
      <c r="E32" s="76">
        <f t="shared" si="4"/>
        <v>14</v>
      </c>
      <c r="F32" s="77">
        <f t="shared" si="5"/>
        <v>28</v>
      </c>
      <c r="G32" s="78" t="str">
        <f t="shared" si="2"/>
        <v>Jul</v>
      </c>
      <c r="H32" s="79">
        <f t="shared" si="6"/>
        <v>2046</v>
      </c>
      <c r="I32" s="80">
        <f t="shared" si="7"/>
        <v>17322328</v>
      </c>
      <c r="J32" s="10"/>
      <c r="K32" s="17"/>
      <c r="L32" s="81"/>
      <c r="M32" s="17"/>
      <c r="N32" s="82">
        <f t="shared" si="9"/>
        <v>123701</v>
      </c>
      <c r="O32" s="17"/>
      <c r="P32" s="87">
        <f t="shared" si="8"/>
        <v>87230</v>
      </c>
      <c r="Q32" s="87">
        <f t="shared" si="10"/>
        <v>210931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8</v>
      </c>
      <c r="D33" s="75"/>
      <c r="E33" s="76">
        <f t="shared" si="4"/>
        <v>15</v>
      </c>
      <c r="F33" s="77">
        <f t="shared" si="5"/>
        <v>28</v>
      </c>
      <c r="G33" s="78" t="str">
        <f t="shared" si="2"/>
        <v>Ago</v>
      </c>
      <c r="H33" s="79">
        <f t="shared" si="6"/>
        <v>2046</v>
      </c>
      <c r="I33" s="80">
        <f t="shared" si="7"/>
        <v>17198008</v>
      </c>
      <c r="J33" s="10"/>
      <c r="K33" s="17"/>
      <c r="L33" s="81"/>
      <c r="M33" s="17"/>
      <c r="N33" s="82">
        <f t="shared" si="9"/>
        <v>124320</v>
      </c>
      <c r="O33" s="17"/>
      <c r="P33" s="87">
        <f t="shared" si="8"/>
        <v>86611</v>
      </c>
      <c r="Q33" s="87">
        <f t="shared" si="10"/>
        <v>210931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9</v>
      </c>
      <c r="D34" s="75"/>
      <c r="E34" s="76">
        <f t="shared" si="4"/>
        <v>16</v>
      </c>
      <c r="F34" s="77">
        <f t="shared" si="5"/>
        <v>28</v>
      </c>
      <c r="G34" s="78" t="str">
        <f t="shared" si="2"/>
        <v>Sep</v>
      </c>
      <c r="H34" s="79">
        <f t="shared" si="6"/>
        <v>2046</v>
      </c>
      <c r="I34" s="80">
        <f t="shared" si="7"/>
        <v>17073067</v>
      </c>
      <c r="J34" s="10"/>
      <c r="K34" s="17"/>
      <c r="L34" s="81"/>
      <c r="M34" s="17"/>
      <c r="N34" s="82">
        <f t="shared" si="9"/>
        <v>124941</v>
      </c>
      <c r="O34" s="17"/>
      <c r="P34" s="87">
        <f t="shared" si="8"/>
        <v>85990</v>
      </c>
      <c r="Q34" s="87">
        <f t="shared" si="10"/>
        <v>210931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10</v>
      </c>
      <c r="D35" s="75"/>
      <c r="E35" s="76">
        <f t="shared" si="4"/>
        <v>17</v>
      </c>
      <c r="F35" s="77">
        <f t="shared" si="5"/>
        <v>28</v>
      </c>
      <c r="G35" s="78" t="str">
        <f t="shared" si="2"/>
        <v>Oct</v>
      </c>
      <c r="H35" s="79">
        <f t="shared" si="6"/>
        <v>2046</v>
      </c>
      <c r="I35" s="80">
        <f t="shared" si="7"/>
        <v>16947501</v>
      </c>
      <c r="J35" s="10"/>
      <c r="K35" s="17"/>
      <c r="L35" s="81"/>
      <c r="M35" s="17"/>
      <c r="N35" s="82">
        <f t="shared" si="9"/>
        <v>125566</v>
      </c>
      <c r="O35" s="17"/>
      <c r="P35" s="87">
        <f t="shared" si="8"/>
        <v>85365</v>
      </c>
      <c r="Q35" s="87">
        <f t="shared" si="10"/>
        <v>210931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11</v>
      </c>
      <c r="D36" s="75"/>
      <c r="E36" s="76">
        <f t="shared" si="4"/>
        <v>18</v>
      </c>
      <c r="F36" s="77">
        <f t="shared" si="5"/>
        <v>28</v>
      </c>
      <c r="G36" s="78" t="str">
        <f t="shared" si="2"/>
        <v>Nov</v>
      </c>
      <c r="H36" s="79">
        <f t="shared" si="6"/>
        <v>2046</v>
      </c>
      <c r="I36" s="80">
        <f t="shared" si="7"/>
        <v>16821307</v>
      </c>
      <c r="J36" s="10"/>
      <c r="K36" s="17"/>
      <c r="L36" s="81"/>
      <c r="M36" s="17"/>
      <c r="N36" s="82">
        <f t="shared" si="9"/>
        <v>126194</v>
      </c>
      <c r="O36" s="17"/>
      <c r="P36" s="87">
        <f t="shared" si="8"/>
        <v>84737</v>
      </c>
      <c r="Q36" s="87">
        <f t="shared" si="10"/>
        <v>210931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12</v>
      </c>
      <c r="D37" s="75"/>
      <c r="E37" s="76">
        <f t="shared" si="4"/>
        <v>19</v>
      </c>
      <c r="F37" s="77">
        <f t="shared" si="5"/>
        <v>28</v>
      </c>
      <c r="G37" s="78" t="str">
        <f t="shared" si="2"/>
        <v>Dic</v>
      </c>
      <c r="H37" s="79">
        <f t="shared" si="6"/>
        <v>2046</v>
      </c>
      <c r="I37" s="80">
        <f t="shared" si="7"/>
        <v>16694482</v>
      </c>
      <c r="J37" s="10"/>
      <c r="K37" s="17"/>
      <c r="L37" s="81"/>
      <c r="M37" s="17"/>
      <c r="N37" s="82">
        <f t="shared" si="9"/>
        <v>126825</v>
      </c>
      <c r="O37" s="17"/>
      <c r="P37" s="87">
        <f t="shared" si="8"/>
        <v>84106</v>
      </c>
      <c r="Q37" s="87">
        <f t="shared" si="10"/>
        <v>210931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1</v>
      </c>
      <c r="D38" s="75"/>
      <c r="E38" s="76">
        <f t="shared" si="4"/>
        <v>20</v>
      </c>
      <c r="F38" s="77">
        <f t="shared" si="5"/>
        <v>28</v>
      </c>
      <c r="G38" s="78" t="str">
        <f t="shared" si="2"/>
        <v>Ene</v>
      </c>
      <c r="H38" s="79">
        <f t="shared" si="6"/>
        <v>2047</v>
      </c>
      <c r="I38" s="80">
        <f t="shared" si="7"/>
        <v>16567023</v>
      </c>
      <c r="J38" s="10"/>
      <c r="K38" s="17"/>
      <c r="L38" s="81"/>
      <c r="M38" s="17"/>
      <c r="N38" s="82">
        <f t="shared" si="9"/>
        <v>127459</v>
      </c>
      <c r="O38" s="17"/>
      <c r="P38" s="87">
        <f t="shared" si="8"/>
        <v>83472</v>
      </c>
      <c r="Q38" s="87">
        <f t="shared" si="10"/>
        <v>210931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2</v>
      </c>
      <c r="D39" s="75"/>
      <c r="E39" s="76">
        <f t="shared" si="4"/>
        <v>21</v>
      </c>
      <c r="F39" s="77">
        <f t="shared" si="5"/>
        <v>28</v>
      </c>
      <c r="G39" s="78" t="str">
        <f t="shared" si="2"/>
        <v>Feb</v>
      </c>
      <c r="H39" s="79">
        <f t="shared" si="6"/>
        <v>2047</v>
      </c>
      <c r="I39" s="80">
        <f t="shared" si="7"/>
        <v>16438927</v>
      </c>
      <c r="J39" s="10"/>
      <c r="K39" s="17"/>
      <c r="L39" s="81"/>
      <c r="M39" s="17"/>
      <c r="N39" s="82">
        <f t="shared" si="9"/>
        <v>128096</v>
      </c>
      <c r="O39" s="17"/>
      <c r="P39" s="87">
        <f t="shared" si="8"/>
        <v>82835</v>
      </c>
      <c r="Q39" s="87">
        <f t="shared" si="10"/>
        <v>210931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3</v>
      </c>
      <c r="D40" s="75"/>
      <c r="E40" s="76">
        <f t="shared" si="4"/>
        <v>22</v>
      </c>
      <c r="F40" s="88">
        <f t="shared" si="5"/>
        <v>28</v>
      </c>
      <c r="G40" s="78" t="str">
        <f t="shared" si="2"/>
        <v>Mar</v>
      </c>
      <c r="H40" s="89">
        <f t="shared" si="6"/>
        <v>2047</v>
      </c>
      <c r="I40" s="80">
        <f t="shared" si="7"/>
        <v>16310190</v>
      </c>
      <c r="J40" s="10"/>
      <c r="K40" s="17"/>
      <c r="L40" s="81"/>
      <c r="M40" s="17"/>
      <c r="N40" s="82">
        <f t="shared" si="9"/>
        <v>128737</v>
      </c>
      <c r="O40" s="17"/>
      <c r="P40" s="87">
        <f t="shared" si="8"/>
        <v>82194</v>
      </c>
      <c r="Q40" s="87">
        <f t="shared" si="10"/>
        <v>210931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4</v>
      </c>
      <c r="D41" s="75"/>
      <c r="E41" s="76">
        <f t="shared" si="4"/>
        <v>23</v>
      </c>
      <c r="F41" s="77">
        <f t="shared" si="5"/>
        <v>28</v>
      </c>
      <c r="G41" s="78" t="str">
        <f t="shared" si="2"/>
        <v>Abr</v>
      </c>
      <c r="H41" s="79">
        <f t="shared" si="6"/>
        <v>2047</v>
      </c>
      <c r="I41" s="80">
        <f t="shared" si="7"/>
        <v>16180809</v>
      </c>
      <c r="J41" s="10"/>
      <c r="K41" s="17"/>
      <c r="L41" s="81"/>
      <c r="M41" s="17"/>
      <c r="N41" s="82">
        <f t="shared" si="9"/>
        <v>129381</v>
      </c>
      <c r="O41" s="17"/>
      <c r="P41" s="87">
        <f t="shared" si="8"/>
        <v>81550</v>
      </c>
      <c r="Q41" s="87">
        <f t="shared" si="10"/>
        <v>210931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5</v>
      </c>
      <c r="D42" s="75"/>
      <c r="E42" s="76">
        <f t="shared" si="4"/>
        <v>24</v>
      </c>
      <c r="F42" s="77">
        <f t="shared" si="5"/>
        <v>28</v>
      </c>
      <c r="G42" s="78" t="str">
        <f t="shared" si="2"/>
        <v>May</v>
      </c>
      <c r="H42" s="79">
        <f t="shared" si="6"/>
        <v>2047</v>
      </c>
      <c r="I42" s="80">
        <f t="shared" si="7"/>
        <v>16050782</v>
      </c>
      <c r="J42" s="10"/>
      <c r="K42" s="17"/>
      <c r="L42" s="81"/>
      <c r="M42" s="17"/>
      <c r="N42" s="82">
        <f t="shared" si="9"/>
        <v>130027</v>
      </c>
      <c r="O42" s="17"/>
      <c r="P42" s="87">
        <f t="shared" si="8"/>
        <v>80904</v>
      </c>
      <c r="Q42" s="87">
        <f t="shared" si="10"/>
        <v>210931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6</v>
      </c>
      <c r="D43" s="75"/>
      <c r="E43" s="76">
        <f t="shared" si="4"/>
        <v>25</v>
      </c>
      <c r="F43" s="77">
        <f t="shared" si="5"/>
        <v>28</v>
      </c>
      <c r="G43" s="78" t="str">
        <f t="shared" si="2"/>
        <v>Jun</v>
      </c>
      <c r="H43" s="79">
        <f t="shared" si="6"/>
        <v>2047</v>
      </c>
      <c r="I43" s="80">
        <f t="shared" si="7"/>
        <v>15920104</v>
      </c>
      <c r="J43" s="10"/>
      <c r="K43" s="17"/>
      <c r="L43" s="81"/>
      <c r="M43" s="17"/>
      <c r="N43" s="82">
        <f t="shared" si="9"/>
        <v>130678</v>
      </c>
      <c r="O43" s="17"/>
      <c r="P43" s="87">
        <f t="shared" si="8"/>
        <v>80253</v>
      </c>
      <c r="Q43" s="87">
        <f t="shared" si="10"/>
        <v>210931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7</v>
      </c>
      <c r="D44" s="75"/>
      <c r="E44" s="76">
        <f t="shared" si="4"/>
        <v>26</v>
      </c>
      <c r="F44" s="77">
        <f t="shared" si="5"/>
        <v>28</v>
      </c>
      <c r="G44" s="78" t="str">
        <f t="shared" si="2"/>
        <v>Jul</v>
      </c>
      <c r="H44" s="79">
        <f t="shared" si="6"/>
        <v>2047</v>
      </c>
      <c r="I44" s="80">
        <f t="shared" si="7"/>
        <v>15788773</v>
      </c>
      <c r="J44" s="10"/>
      <c r="K44" s="17"/>
      <c r="L44" s="81"/>
      <c r="M44" s="17"/>
      <c r="N44" s="82">
        <f t="shared" si="9"/>
        <v>131331</v>
      </c>
      <c r="O44" s="17"/>
      <c r="P44" s="87">
        <f t="shared" si="8"/>
        <v>79600</v>
      </c>
      <c r="Q44" s="87">
        <f t="shared" si="10"/>
        <v>210931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8</v>
      </c>
      <c r="D45" s="75"/>
      <c r="E45" s="76">
        <f t="shared" si="4"/>
        <v>27</v>
      </c>
      <c r="F45" s="77">
        <f t="shared" si="5"/>
        <v>28</v>
      </c>
      <c r="G45" s="78" t="str">
        <f t="shared" si="2"/>
        <v>Ago</v>
      </c>
      <c r="H45" s="79">
        <f t="shared" si="6"/>
        <v>2047</v>
      </c>
      <c r="I45" s="80">
        <f t="shared" si="7"/>
        <v>15656785</v>
      </c>
      <c r="J45" s="10"/>
      <c r="K45" s="17"/>
      <c r="L45" s="81"/>
      <c r="M45" s="17"/>
      <c r="N45" s="82">
        <f t="shared" si="9"/>
        <v>131988</v>
      </c>
      <c r="O45" s="17"/>
      <c r="P45" s="87">
        <f t="shared" si="8"/>
        <v>78943</v>
      </c>
      <c r="Q45" s="87">
        <f t="shared" si="10"/>
        <v>210931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9</v>
      </c>
      <c r="D46" s="75"/>
      <c r="E46" s="76">
        <f t="shared" si="4"/>
        <v>28</v>
      </c>
      <c r="F46" s="77">
        <f t="shared" si="5"/>
        <v>28</v>
      </c>
      <c r="G46" s="78" t="str">
        <f t="shared" si="2"/>
        <v>Sep</v>
      </c>
      <c r="H46" s="79">
        <f t="shared" si="6"/>
        <v>2047</v>
      </c>
      <c r="I46" s="80">
        <f t="shared" si="7"/>
        <v>15524137</v>
      </c>
      <c r="J46" s="10"/>
      <c r="K46" s="17"/>
      <c r="L46" s="81"/>
      <c r="M46" s="17"/>
      <c r="N46" s="82">
        <f t="shared" si="9"/>
        <v>132648</v>
      </c>
      <c r="O46" s="17"/>
      <c r="P46" s="87">
        <f t="shared" si="8"/>
        <v>78283</v>
      </c>
      <c r="Q46" s="87">
        <f t="shared" si="10"/>
        <v>210931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10</v>
      </c>
      <c r="D47" s="75"/>
      <c r="E47" s="76">
        <f t="shared" si="4"/>
        <v>29</v>
      </c>
      <c r="F47" s="77">
        <f t="shared" si="5"/>
        <v>28</v>
      </c>
      <c r="G47" s="78" t="str">
        <f t="shared" si="2"/>
        <v>Oct</v>
      </c>
      <c r="H47" s="79">
        <f t="shared" si="6"/>
        <v>2047</v>
      </c>
      <c r="I47" s="80">
        <f t="shared" si="7"/>
        <v>15390826</v>
      </c>
      <c r="J47" s="10"/>
      <c r="K47" s="17"/>
      <c r="L47" s="81"/>
      <c r="M47" s="17"/>
      <c r="N47" s="82">
        <f t="shared" si="9"/>
        <v>133311</v>
      </c>
      <c r="O47" s="17"/>
      <c r="P47" s="87">
        <f t="shared" si="8"/>
        <v>77620</v>
      </c>
      <c r="Q47" s="87">
        <f t="shared" si="10"/>
        <v>210931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11</v>
      </c>
      <c r="D48" s="75"/>
      <c r="E48" s="76">
        <f t="shared" si="4"/>
        <v>30</v>
      </c>
      <c r="F48" s="77">
        <f t="shared" si="5"/>
        <v>28</v>
      </c>
      <c r="G48" s="78" t="str">
        <f t="shared" si="2"/>
        <v>Nov</v>
      </c>
      <c r="H48" s="79">
        <f t="shared" si="6"/>
        <v>2047</v>
      </c>
      <c r="I48" s="80">
        <f t="shared" si="7"/>
        <v>15256849</v>
      </c>
      <c r="J48" s="10"/>
      <c r="K48" s="17"/>
      <c r="L48" s="81"/>
      <c r="M48" s="17"/>
      <c r="N48" s="82">
        <f t="shared" si="9"/>
        <v>133977</v>
      </c>
      <c r="O48" s="17"/>
      <c r="P48" s="87">
        <f t="shared" si="8"/>
        <v>76954</v>
      </c>
      <c r="Q48" s="87">
        <f t="shared" si="10"/>
        <v>210931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12</v>
      </c>
      <c r="D49" s="75"/>
      <c r="E49" s="76">
        <f t="shared" si="4"/>
        <v>31</v>
      </c>
      <c r="F49" s="77">
        <f t="shared" si="5"/>
        <v>28</v>
      </c>
      <c r="G49" s="78" t="str">
        <f t="shared" si="2"/>
        <v>Dic</v>
      </c>
      <c r="H49" s="79">
        <f t="shared" si="6"/>
        <v>2047</v>
      </c>
      <c r="I49" s="80">
        <f t="shared" si="7"/>
        <v>15122202</v>
      </c>
      <c r="J49" s="10"/>
      <c r="K49" s="17"/>
      <c r="L49" s="81"/>
      <c r="M49" s="17"/>
      <c r="N49" s="82">
        <f t="shared" si="9"/>
        <v>134647</v>
      </c>
      <c r="O49" s="17"/>
      <c r="P49" s="87">
        <f t="shared" si="8"/>
        <v>76284</v>
      </c>
      <c r="Q49" s="87">
        <f t="shared" si="10"/>
        <v>210931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1</v>
      </c>
      <c r="D50" s="75"/>
      <c r="E50" s="76">
        <f t="shared" si="4"/>
        <v>32</v>
      </c>
      <c r="F50" s="77">
        <f t="shared" si="5"/>
        <v>28</v>
      </c>
      <c r="G50" s="78" t="str">
        <f t="shared" si="2"/>
        <v>Ene</v>
      </c>
      <c r="H50" s="79">
        <f t="shared" si="6"/>
        <v>2048</v>
      </c>
      <c r="I50" s="80">
        <f t="shared" si="7"/>
        <v>14986882</v>
      </c>
      <c r="J50" s="10"/>
      <c r="K50" s="17"/>
      <c r="L50" s="81"/>
      <c r="M50" s="17"/>
      <c r="N50" s="82">
        <f t="shared" si="9"/>
        <v>135320</v>
      </c>
      <c r="O50" s="17"/>
      <c r="P50" s="87">
        <f t="shared" si="8"/>
        <v>75611</v>
      </c>
      <c r="Q50" s="87">
        <f t="shared" si="10"/>
        <v>210931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2</v>
      </c>
      <c r="D51" s="75"/>
      <c r="E51" s="76">
        <f t="shared" si="4"/>
        <v>33</v>
      </c>
      <c r="F51" s="77">
        <f t="shared" si="5"/>
        <v>28</v>
      </c>
      <c r="G51" s="78" t="str">
        <f t="shared" si="2"/>
        <v>Feb</v>
      </c>
      <c r="H51" s="79">
        <f t="shared" si="6"/>
        <v>2048</v>
      </c>
      <c r="I51" s="80">
        <f t="shared" si="7"/>
        <v>14850885</v>
      </c>
      <c r="J51" s="10"/>
      <c r="K51" s="17"/>
      <c r="L51" s="81"/>
      <c r="M51" s="17"/>
      <c r="N51" s="82">
        <f t="shared" si="9"/>
        <v>135997</v>
      </c>
      <c r="O51" s="17"/>
      <c r="P51" s="87">
        <f t="shared" si="8"/>
        <v>74934</v>
      </c>
      <c r="Q51" s="87">
        <f t="shared" si="10"/>
        <v>210931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3</v>
      </c>
      <c r="D52" s="75"/>
      <c r="E52" s="76">
        <f t="shared" si="4"/>
        <v>34</v>
      </c>
      <c r="F52" s="88">
        <f t="shared" si="5"/>
        <v>28</v>
      </c>
      <c r="G52" s="78" t="str">
        <f t="shared" si="2"/>
        <v>Mar</v>
      </c>
      <c r="H52" s="89">
        <f t="shared" si="6"/>
        <v>2048</v>
      </c>
      <c r="I52" s="80">
        <f t="shared" si="7"/>
        <v>14714208</v>
      </c>
      <c r="J52" s="10"/>
      <c r="K52" s="17"/>
      <c r="L52" s="81"/>
      <c r="M52" s="17"/>
      <c r="N52" s="82">
        <f t="shared" si="9"/>
        <v>136677</v>
      </c>
      <c r="O52" s="17"/>
      <c r="P52" s="87">
        <f t="shared" si="8"/>
        <v>74254</v>
      </c>
      <c r="Q52" s="87">
        <f t="shared" si="10"/>
        <v>210931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4</v>
      </c>
      <c r="D53" s="75"/>
      <c r="E53" s="76">
        <f t="shared" si="4"/>
        <v>35</v>
      </c>
      <c r="F53" s="77">
        <f t="shared" si="5"/>
        <v>28</v>
      </c>
      <c r="G53" s="78" t="str">
        <f t="shared" si="2"/>
        <v>Abr</v>
      </c>
      <c r="H53" s="79">
        <f t="shared" si="6"/>
        <v>2048</v>
      </c>
      <c r="I53" s="80">
        <f t="shared" si="7"/>
        <v>14576848</v>
      </c>
      <c r="J53" s="10"/>
      <c r="K53" s="17"/>
      <c r="L53" s="81"/>
      <c r="M53" s="17"/>
      <c r="N53" s="82">
        <f t="shared" si="9"/>
        <v>137360</v>
      </c>
      <c r="O53" s="17"/>
      <c r="P53" s="87">
        <f t="shared" si="8"/>
        <v>73571</v>
      </c>
      <c r="Q53" s="87">
        <f t="shared" si="10"/>
        <v>210931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5</v>
      </c>
      <c r="D54" s="75"/>
      <c r="E54" s="76">
        <f t="shared" si="4"/>
        <v>36</v>
      </c>
      <c r="F54" s="77">
        <f t="shared" si="5"/>
        <v>28</v>
      </c>
      <c r="G54" s="78" t="str">
        <f t="shared" si="2"/>
        <v>May</v>
      </c>
      <c r="H54" s="79">
        <f t="shared" si="6"/>
        <v>2048</v>
      </c>
      <c r="I54" s="80">
        <f t="shared" si="7"/>
        <v>14438801</v>
      </c>
      <c r="J54" s="10"/>
      <c r="K54" s="17"/>
      <c r="L54" s="81"/>
      <c r="M54" s="17"/>
      <c r="N54" s="82">
        <f t="shared" si="9"/>
        <v>138047</v>
      </c>
      <c r="O54" s="17"/>
      <c r="P54" s="87">
        <f t="shared" si="8"/>
        <v>72884</v>
      </c>
      <c r="Q54" s="87">
        <f t="shared" si="10"/>
        <v>210931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6</v>
      </c>
      <c r="D55" s="75"/>
      <c r="E55" s="76">
        <f t="shared" si="4"/>
        <v>37</v>
      </c>
      <c r="F55" s="77">
        <f t="shared" si="5"/>
        <v>28</v>
      </c>
      <c r="G55" s="78" t="str">
        <f t="shared" si="2"/>
        <v>Jun</v>
      </c>
      <c r="H55" s="79">
        <f t="shared" si="6"/>
        <v>2048</v>
      </c>
      <c r="I55" s="80">
        <f t="shared" si="7"/>
        <v>14300064</v>
      </c>
      <c r="J55" s="10"/>
      <c r="K55" s="17"/>
      <c r="L55" s="81"/>
      <c r="M55" s="17"/>
      <c r="N55" s="82">
        <f t="shared" si="9"/>
        <v>138737</v>
      </c>
      <c r="O55" s="17"/>
      <c r="P55" s="87">
        <f t="shared" si="8"/>
        <v>72194</v>
      </c>
      <c r="Q55" s="87">
        <f t="shared" si="10"/>
        <v>210931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7</v>
      </c>
      <c r="D56" s="75"/>
      <c r="E56" s="76">
        <f t="shared" si="4"/>
        <v>38</v>
      </c>
      <c r="F56" s="77">
        <f t="shared" si="5"/>
        <v>28</v>
      </c>
      <c r="G56" s="78" t="str">
        <f t="shared" si="2"/>
        <v>Jul</v>
      </c>
      <c r="H56" s="79">
        <f t="shared" si="6"/>
        <v>2048</v>
      </c>
      <c r="I56" s="80">
        <f t="shared" si="7"/>
        <v>14160633</v>
      </c>
      <c r="J56" s="10"/>
      <c r="K56" s="17"/>
      <c r="L56" s="81"/>
      <c r="M56" s="17"/>
      <c r="N56" s="82">
        <f t="shared" si="9"/>
        <v>139431</v>
      </c>
      <c r="O56" s="17"/>
      <c r="P56" s="87">
        <f t="shared" si="8"/>
        <v>71500</v>
      </c>
      <c r="Q56" s="87">
        <f t="shared" si="10"/>
        <v>210931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8</v>
      </c>
      <c r="D57" s="75"/>
      <c r="E57" s="76">
        <f t="shared" si="4"/>
        <v>39</v>
      </c>
      <c r="F57" s="77">
        <f t="shared" si="5"/>
        <v>28</v>
      </c>
      <c r="G57" s="78" t="str">
        <f t="shared" si="2"/>
        <v>Ago</v>
      </c>
      <c r="H57" s="79">
        <f t="shared" si="6"/>
        <v>2048</v>
      </c>
      <c r="I57" s="80">
        <f t="shared" si="7"/>
        <v>14020505</v>
      </c>
      <c r="J57" s="10"/>
      <c r="K57" s="17"/>
      <c r="L57" s="81"/>
      <c r="M57" s="17"/>
      <c r="N57" s="82">
        <f t="shared" si="9"/>
        <v>140128</v>
      </c>
      <c r="O57" s="17"/>
      <c r="P57" s="87">
        <f t="shared" si="8"/>
        <v>70803</v>
      </c>
      <c r="Q57" s="87">
        <f t="shared" si="10"/>
        <v>210931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9</v>
      </c>
      <c r="D58" s="75"/>
      <c r="E58" s="76">
        <f t="shared" si="4"/>
        <v>40</v>
      </c>
      <c r="F58" s="77">
        <f t="shared" si="5"/>
        <v>28</v>
      </c>
      <c r="G58" s="78" t="str">
        <f t="shared" si="2"/>
        <v>Sep</v>
      </c>
      <c r="H58" s="79">
        <f t="shared" si="6"/>
        <v>2048</v>
      </c>
      <c r="I58" s="80">
        <f t="shared" si="7"/>
        <v>13879676</v>
      </c>
      <c r="J58" s="10"/>
      <c r="K58" s="17"/>
      <c r="L58" s="81"/>
      <c r="M58" s="17"/>
      <c r="N58" s="82">
        <f t="shared" si="9"/>
        <v>140829</v>
      </c>
      <c r="O58" s="17"/>
      <c r="P58" s="87">
        <f t="shared" si="8"/>
        <v>70102</v>
      </c>
      <c r="Q58" s="87">
        <f t="shared" si="10"/>
        <v>210931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10</v>
      </c>
      <c r="D59" s="75"/>
      <c r="E59" s="76">
        <f t="shared" si="4"/>
        <v>41</v>
      </c>
      <c r="F59" s="77">
        <f t="shared" si="5"/>
        <v>28</v>
      </c>
      <c r="G59" s="78" t="str">
        <f t="shared" si="2"/>
        <v>Oct</v>
      </c>
      <c r="H59" s="79">
        <f t="shared" si="6"/>
        <v>2048</v>
      </c>
      <c r="I59" s="80">
        <f t="shared" si="7"/>
        <v>13738143</v>
      </c>
      <c r="J59" s="10"/>
      <c r="K59" s="17"/>
      <c r="L59" s="81"/>
      <c r="M59" s="17"/>
      <c r="N59" s="82">
        <f t="shared" si="9"/>
        <v>141533</v>
      </c>
      <c r="O59" s="17"/>
      <c r="P59" s="87">
        <f t="shared" si="8"/>
        <v>69398</v>
      </c>
      <c r="Q59" s="87">
        <f t="shared" si="10"/>
        <v>210931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11</v>
      </c>
      <c r="D60" s="75"/>
      <c r="E60" s="76">
        <f t="shared" si="4"/>
        <v>42</v>
      </c>
      <c r="F60" s="77">
        <f t="shared" si="5"/>
        <v>28</v>
      </c>
      <c r="G60" s="78" t="str">
        <f t="shared" si="2"/>
        <v>Nov</v>
      </c>
      <c r="H60" s="79">
        <f t="shared" si="6"/>
        <v>2048</v>
      </c>
      <c r="I60" s="80">
        <f t="shared" si="7"/>
        <v>13595902</v>
      </c>
      <c r="J60" s="10"/>
      <c r="K60" s="17"/>
      <c r="L60" s="81"/>
      <c r="M60" s="17"/>
      <c r="N60" s="82">
        <f t="shared" si="9"/>
        <v>142241</v>
      </c>
      <c r="O60" s="17"/>
      <c r="P60" s="87">
        <f t="shared" si="8"/>
        <v>68690</v>
      </c>
      <c r="Q60" s="87">
        <f t="shared" si="10"/>
        <v>210931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12</v>
      </c>
      <c r="D61" s="75"/>
      <c r="E61" s="76">
        <f t="shared" si="4"/>
        <v>43</v>
      </c>
      <c r="F61" s="77">
        <f t="shared" si="5"/>
        <v>28</v>
      </c>
      <c r="G61" s="78" t="str">
        <f t="shared" si="2"/>
        <v>Dic</v>
      </c>
      <c r="H61" s="79">
        <f t="shared" si="6"/>
        <v>2048</v>
      </c>
      <c r="I61" s="80">
        <f t="shared" si="7"/>
        <v>13452950</v>
      </c>
      <c r="J61" s="10"/>
      <c r="K61" s="17"/>
      <c r="L61" s="81"/>
      <c r="M61" s="17"/>
      <c r="N61" s="82">
        <f t="shared" si="9"/>
        <v>142952</v>
      </c>
      <c r="O61" s="17"/>
      <c r="P61" s="87">
        <f t="shared" si="8"/>
        <v>67979</v>
      </c>
      <c r="Q61" s="87">
        <f t="shared" si="10"/>
        <v>210931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1</v>
      </c>
      <c r="D62" s="75"/>
      <c r="E62" s="76">
        <f t="shared" si="4"/>
        <v>44</v>
      </c>
      <c r="F62" s="77">
        <f t="shared" si="5"/>
        <v>28</v>
      </c>
      <c r="G62" s="78" t="str">
        <f t="shared" si="2"/>
        <v>Ene</v>
      </c>
      <c r="H62" s="79">
        <f t="shared" si="6"/>
        <v>2049</v>
      </c>
      <c r="I62" s="80">
        <f t="shared" si="7"/>
        <v>13309283</v>
      </c>
      <c r="J62" s="10"/>
      <c r="K62" s="17"/>
      <c r="L62" s="81"/>
      <c r="M62" s="17"/>
      <c r="N62" s="82">
        <f t="shared" si="9"/>
        <v>143667</v>
      </c>
      <c r="O62" s="17"/>
      <c r="P62" s="87">
        <f t="shared" si="8"/>
        <v>67264</v>
      </c>
      <c r="Q62" s="87">
        <f t="shared" si="10"/>
        <v>210931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2</v>
      </c>
      <c r="D63" s="75"/>
      <c r="E63" s="76">
        <f t="shared" si="4"/>
        <v>45</v>
      </c>
      <c r="F63" s="77">
        <f t="shared" si="5"/>
        <v>28</v>
      </c>
      <c r="G63" s="78" t="str">
        <f t="shared" si="2"/>
        <v>Feb</v>
      </c>
      <c r="H63" s="79">
        <f t="shared" si="6"/>
        <v>2049</v>
      </c>
      <c r="I63" s="80">
        <f t="shared" si="7"/>
        <v>13164898</v>
      </c>
      <c r="J63" s="10"/>
      <c r="K63" s="17"/>
      <c r="L63" s="81"/>
      <c r="M63" s="17"/>
      <c r="N63" s="82">
        <f t="shared" si="9"/>
        <v>144385</v>
      </c>
      <c r="O63" s="17"/>
      <c r="P63" s="87">
        <f t="shared" si="8"/>
        <v>66546</v>
      </c>
      <c r="Q63" s="87">
        <f t="shared" si="10"/>
        <v>210931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3</v>
      </c>
      <c r="D64" s="75"/>
      <c r="E64" s="76">
        <f t="shared" si="4"/>
        <v>46</v>
      </c>
      <c r="F64" s="88">
        <f t="shared" si="5"/>
        <v>28</v>
      </c>
      <c r="G64" s="78" t="str">
        <f t="shared" si="2"/>
        <v>Mar</v>
      </c>
      <c r="H64" s="89">
        <f t="shared" si="6"/>
        <v>2049</v>
      </c>
      <c r="I64" s="80">
        <f t="shared" si="7"/>
        <v>13019791</v>
      </c>
      <c r="J64" s="10"/>
      <c r="K64" s="17"/>
      <c r="L64" s="81"/>
      <c r="M64" s="17"/>
      <c r="N64" s="82">
        <f t="shared" si="9"/>
        <v>145107</v>
      </c>
      <c r="O64" s="17"/>
      <c r="P64" s="87">
        <f t="shared" si="8"/>
        <v>65824</v>
      </c>
      <c r="Q64" s="87">
        <f t="shared" si="10"/>
        <v>210931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4</v>
      </c>
      <c r="D65" s="75"/>
      <c r="E65" s="76">
        <f t="shared" si="4"/>
        <v>47</v>
      </c>
      <c r="F65" s="77">
        <f t="shared" si="5"/>
        <v>28</v>
      </c>
      <c r="G65" s="78" t="str">
        <f t="shared" si="2"/>
        <v>Abr</v>
      </c>
      <c r="H65" s="79">
        <f t="shared" si="6"/>
        <v>2049</v>
      </c>
      <c r="I65" s="80">
        <f t="shared" si="7"/>
        <v>12873958</v>
      </c>
      <c r="J65" s="10"/>
      <c r="K65" s="17"/>
      <c r="L65" s="81"/>
      <c r="M65" s="17"/>
      <c r="N65" s="82">
        <f t="shared" si="9"/>
        <v>145833</v>
      </c>
      <c r="O65" s="17"/>
      <c r="P65" s="87">
        <f t="shared" si="8"/>
        <v>65098</v>
      </c>
      <c r="Q65" s="87">
        <f t="shared" si="10"/>
        <v>210931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5</v>
      </c>
      <c r="D66" s="75"/>
      <c r="E66" s="76">
        <f t="shared" si="4"/>
        <v>48</v>
      </c>
      <c r="F66" s="77">
        <f t="shared" si="5"/>
        <v>28</v>
      </c>
      <c r="G66" s="78" t="str">
        <f t="shared" si="2"/>
        <v>May</v>
      </c>
      <c r="H66" s="79">
        <f t="shared" si="6"/>
        <v>2049</v>
      </c>
      <c r="I66" s="80">
        <f t="shared" si="7"/>
        <v>12727396</v>
      </c>
      <c r="J66" s="10"/>
      <c r="K66" s="17"/>
      <c r="L66" s="81"/>
      <c r="M66" s="17"/>
      <c r="N66" s="82">
        <f t="shared" si="9"/>
        <v>146562</v>
      </c>
      <c r="O66" s="17"/>
      <c r="P66" s="87">
        <f t="shared" si="8"/>
        <v>64369</v>
      </c>
      <c r="Q66" s="87">
        <f t="shared" si="10"/>
        <v>210931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6</v>
      </c>
      <c r="D67" s="75"/>
      <c r="E67" s="76">
        <f t="shared" si="4"/>
        <v>49</v>
      </c>
      <c r="F67" s="77">
        <f t="shared" si="5"/>
        <v>28</v>
      </c>
      <c r="G67" s="78" t="str">
        <f t="shared" si="2"/>
        <v>Jun</v>
      </c>
      <c r="H67" s="79">
        <f t="shared" si="6"/>
        <v>2049</v>
      </c>
      <c r="I67" s="80">
        <f t="shared" si="7"/>
        <v>12580101</v>
      </c>
      <c r="J67" s="10"/>
      <c r="K67" s="17"/>
      <c r="L67" s="81"/>
      <c r="M67" s="17"/>
      <c r="N67" s="82">
        <f t="shared" si="9"/>
        <v>147295</v>
      </c>
      <c r="O67" s="17"/>
      <c r="P67" s="87">
        <f t="shared" si="8"/>
        <v>63636</v>
      </c>
      <c r="Q67" s="87">
        <f t="shared" si="10"/>
        <v>210931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7</v>
      </c>
      <c r="D68" s="75"/>
      <c r="E68" s="76">
        <f t="shared" si="4"/>
        <v>50</v>
      </c>
      <c r="F68" s="77">
        <f t="shared" ref="F68:F74" si="11">IF(E68&gt;1,$F$18)</f>
        <v>28</v>
      </c>
      <c r="G68" s="78" t="str">
        <f t="shared" si="2"/>
        <v>Jul</v>
      </c>
      <c r="H68" s="79">
        <f t="shared" si="6"/>
        <v>2049</v>
      </c>
      <c r="I68" s="80">
        <f t="shared" si="7"/>
        <v>12432070</v>
      </c>
      <c r="J68" s="10"/>
      <c r="K68" s="17"/>
      <c r="L68" s="81"/>
      <c r="M68" s="17"/>
      <c r="N68" s="82">
        <f t="shared" si="9"/>
        <v>148031</v>
      </c>
      <c r="O68" s="17"/>
      <c r="P68" s="87">
        <f t="shared" si="8"/>
        <v>62900</v>
      </c>
      <c r="Q68" s="87">
        <f t="shared" si="10"/>
        <v>210931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8</v>
      </c>
      <c r="D69" s="75"/>
      <c r="E69" s="76">
        <f t="shared" si="4"/>
        <v>51</v>
      </c>
      <c r="F69" s="77">
        <f t="shared" si="11"/>
        <v>28</v>
      </c>
      <c r="G69" s="78" t="str">
        <f t="shared" si="2"/>
        <v>Ago</v>
      </c>
      <c r="H69" s="79">
        <f t="shared" si="6"/>
        <v>2049</v>
      </c>
      <c r="I69" s="80">
        <f t="shared" si="7"/>
        <v>12283299</v>
      </c>
      <c r="J69" s="10"/>
      <c r="K69" s="17"/>
      <c r="L69" s="81"/>
      <c r="M69" s="17"/>
      <c r="N69" s="82">
        <f t="shared" si="9"/>
        <v>148771</v>
      </c>
      <c r="O69" s="17"/>
      <c r="P69" s="87">
        <f t="shared" si="8"/>
        <v>62160</v>
      </c>
      <c r="Q69" s="87">
        <f t="shared" si="10"/>
        <v>210931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9</v>
      </c>
      <c r="D70" s="75"/>
      <c r="E70" s="76">
        <f t="shared" si="4"/>
        <v>52</v>
      </c>
      <c r="F70" s="77">
        <f t="shared" si="11"/>
        <v>28</v>
      </c>
      <c r="G70" s="78" t="str">
        <f t="shared" si="2"/>
        <v>Sep</v>
      </c>
      <c r="H70" s="79">
        <f t="shared" si="6"/>
        <v>2049</v>
      </c>
      <c r="I70" s="80">
        <f t="shared" si="7"/>
        <v>12133784</v>
      </c>
      <c r="J70" s="10"/>
      <c r="K70" s="17"/>
      <c r="L70" s="90"/>
      <c r="M70" s="91"/>
      <c r="N70" s="82">
        <f t="shared" si="9"/>
        <v>149515</v>
      </c>
      <c r="O70" s="17"/>
      <c r="P70" s="87">
        <f t="shared" si="8"/>
        <v>61416</v>
      </c>
      <c r="Q70" s="87">
        <f t="shared" si="10"/>
        <v>210931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10</v>
      </c>
      <c r="D71" s="75"/>
      <c r="E71" s="76">
        <f t="shared" si="4"/>
        <v>53</v>
      </c>
      <c r="F71" s="77">
        <f t="shared" si="11"/>
        <v>28</v>
      </c>
      <c r="G71" s="78" t="str">
        <f t="shared" si="2"/>
        <v>Oct</v>
      </c>
      <c r="H71" s="79">
        <f t="shared" si="6"/>
        <v>2049</v>
      </c>
      <c r="I71" s="80">
        <f t="shared" si="7"/>
        <v>11983521</v>
      </c>
      <c r="J71" s="10"/>
      <c r="K71" s="17"/>
      <c r="L71" s="90"/>
      <c r="M71" s="91"/>
      <c r="N71" s="82">
        <f t="shared" si="9"/>
        <v>150263</v>
      </c>
      <c r="O71" s="17"/>
      <c r="P71" s="87">
        <f t="shared" si="8"/>
        <v>60668</v>
      </c>
      <c r="Q71" s="87">
        <f t="shared" si="10"/>
        <v>210931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11</v>
      </c>
      <c r="D72" s="75"/>
      <c r="E72" s="76">
        <f t="shared" si="4"/>
        <v>54</v>
      </c>
      <c r="F72" s="77">
        <f t="shared" si="11"/>
        <v>28</v>
      </c>
      <c r="G72" s="78" t="str">
        <f t="shared" si="2"/>
        <v>Nov</v>
      </c>
      <c r="H72" s="79">
        <f t="shared" si="6"/>
        <v>2049</v>
      </c>
      <c r="I72" s="80">
        <f t="shared" si="7"/>
        <v>11832507</v>
      </c>
      <c r="J72" s="10"/>
      <c r="K72" s="17"/>
      <c r="L72" s="90"/>
      <c r="M72" s="91"/>
      <c r="N72" s="82">
        <f t="shared" si="9"/>
        <v>151014</v>
      </c>
      <c r="O72" s="17"/>
      <c r="P72" s="87">
        <f t="shared" si="8"/>
        <v>59917</v>
      </c>
      <c r="Q72" s="87">
        <f t="shared" si="10"/>
        <v>210931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12</v>
      </c>
      <c r="D73" s="75"/>
      <c r="E73" s="76">
        <f t="shared" si="4"/>
        <v>55</v>
      </c>
      <c r="F73" s="77">
        <f t="shared" si="11"/>
        <v>28</v>
      </c>
      <c r="G73" s="78" t="str">
        <f t="shared" si="2"/>
        <v>Dic</v>
      </c>
      <c r="H73" s="79">
        <f t="shared" si="6"/>
        <v>2049</v>
      </c>
      <c r="I73" s="80">
        <f t="shared" si="7"/>
        <v>11680738</v>
      </c>
      <c r="J73" s="10"/>
      <c r="K73" s="17"/>
      <c r="L73" s="90"/>
      <c r="M73" s="91"/>
      <c r="N73" s="82">
        <f t="shared" si="9"/>
        <v>151769</v>
      </c>
      <c r="O73" s="17"/>
      <c r="P73" s="87">
        <f t="shared" si="8"/>
        <v>59162</v>
      </c>
      <c r="Q73" s="87">
        <f t="shared" si="10"/>
        <v>210931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1</v>
      </c>
      <c r="D74" s="75"/>
      <c r="E74" s="76">
        <f t="shared" si="4"/>
        <v>56</v>
      </c>
      <c r="F74" s="77">
        <f t="shared" si="11"/>
        <v>28</v>
      </c>
      <c r="G74" s="78" t="str">
        <f t="shared" si="2"/>
        <v>Ene</v>
      </c>
      <c r="H74" s="79">
        <f t="shared" si="6"/>
        <v>2050</v>
      </c>
      <c r="I74" s="80">
        <f t="shared" si="7"/>
        <v>11528210</v>
      </c>
      <c r="J74" s="10"/>
      <c r="K74" s="17"/>
      <c r="L74" s="90"/>
      <c r="M74" s="91"/>
      <c r="N74" s="82">
        <f t="shared" si="9"/>
        <v>152528</v>
      </c>
      <c r="O74" s="17"/>
      <c r="P74" s="87">
        <f t="shared" si="8"/>
        <v>58403</v>
      </c>
      <c r="Q74" s="87">
        <f t="shared" si="10"/>
        <v>210931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2</v>
      </c>
      <c r="D75" s="75"/>
      <c r="E75" s="76">
        <f t="shared" si="4"/>
        <v>57</v>
      </c>
      <c r="F75" s="77">
        <f t="shared" ref="F75:F138" si="12">$F$18</f>
        <v>28</v>
      </c>
      <c r="G75" s="78" t="str">
        <f t="shared" si="2"/>
        <v>Feb</v>
      </c>
      <c r="H75" s="79">
        <f t="shared" si="6"/>
        <v>2050</v>
      </c>
      <c r="I75" s="80">
        <f t="shared" si="7"/>
        <v>11374920</v>
      </c>
      <c r="J75" s="10"/>
      <c r="K75" s="17"/>
      <c r="L75" s="90"/>
      <c r="M75" s="91"/>
      <c r="N75" s="82">
        <f t="shared" si="9"/>
        <v>153290</v>
      </c>
      <c r="O75" s="17"/>
      <c r="P75" s="87">
        <f t="shared" si="8"/>
        <v>57641</v>
      </c>
      <c r="Q75" s="87">
        <f t="shared" si="10"/>
        <v>210931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3</v>
      </c>
      <c r="D76" s="75"/>
      <c r="E76" s="76">
        <f t="shared" si="4"/>
        <v>58</v>
      </c>
      <c r="F76" s="88">
        <f t="shared" si="12"/>
        <v>28</v>
      </c>
      <c r="G76" s="78" t="str">
        <f t="shared" si="2"/>
        <v>Mar</v>
      </c>
      <c r="H76" s="89">
        <f t="shared" si="6"/>
        <v>2050</v>
      </c>
      <c r="I76" s="80">
        <f t="shared" si="7"/>
        <v>11220863</v>
      </c>
      <c r="J76" s="10"/>
      <c r="K76" s="17"/>
      <c r="L76" s="90"/>
      <c r="M76" s="91"/>
      <c r="N76" s="82">
        <f t="shared" si="9"/>
        <v>154057</v>
      </c>
      <c r="O76" s="17"/>
      <c r="P76" s="87">
        <f t="shared" si="8"/>
        <v>56874</v>
      </c>
      <c r="Q76" s="87">
        <f t="shared" si="10"/>
        <v>210931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4</v>
      </c>
      <c r="D77" s="75"/>
      <c r="E77" s="76">
        <f t="shared" si="4"/>
        <v>59</v>
      </c>
      <c r="F77" s="77">
        <f t="shared" si="12"/>
        <v>28</v>
      </c>
      <c r="G77" s="78" t="str">
        <f t="shared" si="2"/>
        <v>Abr</v>
      </c>
      <c r="H77" s="79">
        <f t="shared" si="6"/>
        <v>2050</v>
      </c>
      <c r="I77" s="80">
        <f t="shared" si="7"/>
        <v>11066036</v>
      </c>
      <c r="J77" s="10"/>
      <c r="K77" s="17"/>
      <c r="L77" s="90"/>
      <c r="M77" s="91"/>
      <c r="N77" s="82">
        <f t="shared" si="9"/>
        <v>154827</v>
      </c>
      <c r="O77" s="17"/>
      <c r="P77" s="87">
        <f t="shared" si="8"/>
        <v>56104</v>
      </c>
      <c r="Q77" s="87">
        <f t="shared" si="10"/>
        <v>210931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5</v>
      </c>
      <c r="D78" s="75"/>
      <c r="E78" s="76">
        <f t="shared" si="4"/>
        <v>60</v>
      </c>
      <c r="F78" s="77">
        <f t="shared" si="12"/>
        <v>28</v>
      </c>
      <c r="G78" s="78" t="str">
        <f t="shared" si="2"/>
        <v>May</v>
      </c>
      <c r="H78" s="79">
        <f t="shared" si="6"/>
        <v>2050</v>
      </c>
      <c r="I78" s="80">
        <f t="shared" si="7"/>
        <v>10910435</v>
      </c>
      <c r="J78" s="10"/>
      <c r="K78" s="17"/>
      <c r="L78" s="81"/>
      <c r="M78" s="17"/>
      <c r="N78" s="82">
        <f t="shared" si="9"/>
        <v>155601</v>
      </c>
      <c r="O78" s="17"/>
      <c r="P78" s="87">
        <f t="shared" si="8"/>
        <v>55330</v>
      </c>
      <c r="Q78" s="87">
        <f t="shared" si="10"/>
        <v>210931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6</v>
      </c>
      <c r="D79" s="75"/>
      <c r="E79" s="76">
        <f t="shared" si="4"/>
        <v>61</v>
      </c>
      <c r="F79" s="77">
        <f t="shared" si="12"/>
        <v>28</v>
      </c>
      <c r="G79" s="78" t="str">
        <f t="shared" si="2"/>
        <v>Jun</v>
      </c>
      <c r="H79" s="79">
        <f t="shared" si="6"/>
        <v>2050</v>
      </c>
      <c r="I79" s="80">
        <f t="shared" si="7"/>
        <v>10754056</v>
      </c>
      <c r="J79" s="10"/>
      <c r="K79" s="17"/>
      <c r="L79" s="81"/>
      <c r="M79" s="17"/>
      <c r="N79" s="82">
        <f t="shared" si="9"/>
        <v>156379</v>
      </c>
      <c r="O79" s="17"/>
      <c r="P79" s="87">
        <f t="shared" si="8"/>
        <v>54552</v>
      </c>
      <c r="Q79" s="87">
        <f t="shared" si="10"/>
        <v>210931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7</v>
      </c>
      <c r="D80" s="75"/>
      <c r="E80" s="76">
        <f t="shared" si="4"/>
        <v>62</v>
      </c>
      <c r="F80" s="77">
        <f t="shared" si="12"/>
        <v>28</v>
      </c>
      <c r="G80" s="78" t="str">
        <f t="shared" si="2"/>
        <v>Jul</v>
      </c>
      <c r="H80" s="79">
        <f t="shared" si="6"/>
        <v>2050</v>
      </c>
      <c r="I80" s="80">
        <f t="shared" si="7"/>
        <v>10596895</v>
      </c>
      <c r="J80" s="10"/>
      <c r="K80" s="17"/>
      <c r="L80" s="81"/>
      <c r="M80" s="17"/>
      <c r="N80" s="82">
        <f t="shared" si="9"/>
        <v>157161</v>
      </c>
      <c r="O80" s="17"/>
      <c r="P80" s="87">
        <f t="shared" si="8"/>
        <v>53770</v>
      </c>
      <c r="Q80" s="87">
        <f t="shared" si="10"/>
        <v>210931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8</v>
      </c>
      <c r="D81" s="75"/>
      <c r="E81" s="76">
        <f t="shared" si="4"/>
        <v>63</v>
      </c>
      <c r="F81" s="77">
        <f t="shared" si="12"/>
        <v>28</v>
      </c>
      <c r="G81" s="78" t="str">
        <f t="shared" si="2"/>
        <v>Ago</v>
      </c>
      <c r="H81" s="79">
        <f t="shared" si="6"/>
        <v>2050</v>
      </c>
      <c r="I81" s="80">
        <f t="shared" si="7"/>
        <v>10438948</v>
      </c>
      <c r="J81" s="10"/>
      <c r="K81" s="17"/>
      <c r="L81" s="81"/>
      <c r="M81" s="17"/>
      <c r="N81" s="82">
        <f t="shared" si="9"/>
        <v>157947</v>
      </c>
      <c r="O81" s="17"/>
      <c r="P81" s="87">
        <f t="shared" si="8"/>
        <v>52984</v>
      </c>
      <c r="Q81" s="87">
        <f t="shared" si="10"/>
        <v>210931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9</v>
      </c>
      <c r="D82" s="75"/>
      <c r="E82" s="76">
        <f t="shared" si="4"/>
        <v>64</v>
      </c>
      <c r="F82" s="77">
        <f t="shared" si="12"/>
        <v>28</v>
      </c>
      <c r="G82" s="78" t="str">
        <f t="shared" si="2"/>
        <v>Sep</v>
      </c>
      <c r="H82" s="79">
        <f t="shared" si="6"/>
        <v>2050</v>
      </c>
      <c r="I82" s="80">
        <f t="shared" si="7"/>
        <v>10280211</v>
      </c>
      <c r="J82" s="10"/>
      <c r="K82" s="17"/>
      <c r="L82" s="81"/>
      <c r="M82" s="17"/>
      <c r="N82" s="82">
        <f t="shared" si="9"/>
        <v>158737</v>
      </c>
      <c r="O82" s="17"/>
      <c r="P82" s="87">
        <f t="shared" si="8"/>
        <v>52194</v>
      </c>
      <c r="Q82" s="87">
        <f t="shared" si="10"/>
        <v>210931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10</v>
      </c>
      <c r="D83" s="75"/>
      <c r="E83" s="76">
        <f t="shared" si="4"/>
        <v>65</v>
      </c>
      <c r="F83" s="77">
        <f t="shared" si="12"/>
        <v>28</v>
      </c>
      <c r="G83" s="78" t="str">
        <f t="shared" si="2"/>
        <v>Oct</v>
      </c>
      <c r="H83" s="79">
        <f t="shared" si="6"/>
        <v>2050</v>
      </c>
      <c r="I83" s="80">
        <f t="shared" si="7"/>
        <v>10120681</v>
      </c>
      <c r="J83" s="10"/>
      <c r="K83" s="17"/>
      <c r="L83" s="81"/>
      <c r="M83" s="17"/>
      <c r="N83" s="82">
        <f t="shared" si="9"/>
        <v>159530</v>
      </c>
      <c r="O83" s="17"/>
      <c r="P83" s="87">
        <f t="shared" si="8"/>
        <v>51401</v>
      </c>
      <c r="Q83" s="87">
        <f t="shared" si="10"/>
        <v>210931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11</v>
      </c>
      <c r="D84" s="75"/>
      <c r="E84" s="76">
        <f t="shared" si="4"/>
        <v>66</v>
      </c>
      <c r="F84" s="77">
        <f t="shared" si="12"/>
        <v>28</v>
      </c>
      <c r="G84" s="78" t="str">
        <f t="shared" si="2"/>
        <v>Nov</v>
      </c>
      <c r="H84" s="79">
        <f t="shared" si="6"/>
        <v>2050</v>
      </c>
      <c r="I84" s="80">
        <f t="shared" si="7"/>
        <v>9960353</v>
      </c>
      <c r="J84" s="10"/>
      <c r="K84" s="17"/>
      <c r="L84" s="81"/>
      <c r="M84" s="17"/>
      <c r="N84" s="82">
        <f t="shared" si="9"/>
        <v>160328</v>
      </c>
      <c r="O84" s="17"/>
      <c r="P84" s="87">
        <f t="shared" si="8"/>
        <v>50603</v>
      </c>
      <c r="Q84" s="87">
        <f t="shared" si="10"/>
        <v>210931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12</v>
      </c>
      <c r="D85" s="75"/>
      <c r="E85" s="76">
        <f t="shared" si="4"/>
        <v>67</v>
      </c>
      <c r="F85" s="77">
        <f t="shared" si="12"/>
        <v>28</v>
      </c>
      <c r="G85" s="78" t="str">
        <f t="shared" si="2"/>
        <v>Dic</v>
      </c>
      <c r="H85" s="79">
        <f t="shared" si="6"/>
        <v>2050</v>
      </c>
      <c r="I85" s="80">
        <f t="shared" si="7"/>
        <v>9799223</v>
      </c>
      <c r="J85" s="10"/>
      <c r="K85" s="17"/>
      <c r="L85" s="81"/>
      <c r="M85" s="17"/>
      <c r="N85" s="82">
        <f t="shared" si="9"/>
        <v>161130</v>
      </c>
      <c r="O85" s="17"/>
      <c r="P85" s="87">
        <f t="shared" si="8"/>
        <v>49801</v>
      </c>
      <c r="Q85" s="87">
        <f t="shared" si="10"/>
        <v>210931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1</v>
      </c>
      <c r="D86" s="75"/>
      <c r="E86" s="76">
        <f t="shared" si="4"/>
        <v>68</v>
      </c>
      <c r="F86" s="77">
        <f t="shared" si="12"/>
        <v>28</v>
      </c>
      <c r="G86" s="78" t="str">
        <f t="shared" si="2"/>
        <v>Ene</v>
      </c>
      <c r="H86" s="79">
        <f t="shared" si="6"/>
        <v>2051</v>
      </c>
      <c r="I86" s="80">
        <f t="shared" si="7"/>
        <v>9637288</v>
      </c>
      <c r="J86" s="10"/>
      <c r="K86" s="17"/>
      <c r="L86" s="81"/>
      <c r="M86" s="17"/>
      <c r="N86" s="82">
        <f t="shared" si="9"/>
        <v>161935</v>
      </c>
      <c r="O86" s="17"/>
      <c r="P86" s="87">
        <f t="shared" si="8"/>
        <v>48996</v>
      </c>
      <c r="Q86" s="87">
        <f t="shared" si="10"/>
        <v>210931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2</v>
      </c>
      <c r="D87" s="75"/>
      <c r="E87" s="76">
        <f t="shared" si="4"/>
        <v>69</v>
      </c>
      <c r="F87" s="77">
        <f t="shared" si="12"/>
        <v>28</v>
      </c>
      <c r="G87" s="78" t="str">
        <f t="shared" si="2"/>
        <v>Feb</v>
      </c>
      <c r="H87" s="79">
        <f t="shared" si="6"/>
        <v>2051</v>
      </c>
      <c r="I87" s="80">
        <f t="shared" si="7"/>
        <v>9474543</v>
      </c>
      <c r="J87" s="10"/>
      <c r="K87" s="17"/>
      <c r="L87" s="81"/>
      <c r="M87" s="17"/>
      <c r="N87" s="82">
        <f t="shared" si="9"/>
        <v>162745</v>
      </c>
      <c r="O87" s="17"/>
      <c r="P87" s="87">
        <f t="shared" si="8"/>
        <v>48186</v>
      </c>
      <c r="Q87" s="87">
        <f t="shared" si="10"/>
        <v>210931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3</v>
      </c>
      <c r="D88" s="75"/>
      <c r="E88" s="76">
        <f t="shared" si="4"/>
        <v>70</v>
      </c>
      <c r="F88" s="88">
        <f t="shared" si="12"/>
        <v>28</v>
      </c>
      <c r="G88" s="78" t="str">
        <f t="shared" si="2"/>
        <v>Mar</v>
      </c>
      <c r="H88" s="89">
        <f t="shared" si="6"/>
        <v>2051</v>
      </c>
      <c r="I88" s="80">
        <f t="shared" si="7"/>
        <v>9310984</v>
      </c>
      <c r="J88" s="10"/>
      <c r="K88" s="17"/>
      <c r="L88" s="81"/>
      <c r="M88" s="17"/>
      <c r="N88" s="82">
        <f t="shared" si="9"/>
        <v>163559</v>
      </c>
      <c r="O88" s="17"/>
      <c r="P88" s="87">
        <f t="shared" si="8"/>
        <v>47372</v>
      </c>
      <c r="Q88" s="87">
        <f t="shared" si="10"/>
        <v>210931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4</v>
      </c>
      <c r="D89" s="75"/>
      <c r="E89" s="76">
        <f t="shared" si="4"/>
        <v>71</v>
      </c>
      <c r="F89" s="77">
        <f t="shared" si="12"/>
        <v>28</v>
      </c>
      <c r="G89" s="78" t="str">
        <f t="shared" si="2"/>
        <v>Abr</v>
      </c>
      <c r="H89" s="79">
        <f t="shared" si="6"/>
        <v>2051</v>
      </c>
      <c r="I89" s="80">
        <f t="shared" si="7"/>
        <v>9146607</v>
      </c>
      <c r="J89" s="10"/>
      <c r="K89" s="17"/>
      <c r="L89" s="81"/>
      <c r="M89" s="17"/>
      <c r="N89" s="82">
        <f t="shared" si="9"/>
        <v>164377</v>
      </c>
      <c r="O89" s="17"/>
      <c r="P89" s="87">
        <f t="shared" si="8"/>
        <v>46554</v>
      </c>
      <c r="Q89" s="87">
        <f t="shared" si="10"/>
        <v>210931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5</v>
      </c>
      <c r="D90" s="75"/>
      <c r="E90" s="76">
        <f t="shared" si="4"/>
        <v>72</v>
      </c>
      <c r="F90" s="77">
        <f t="shared" si="12"/>
        <v>28</v>
      </c>
      <c r="G90" s="78" t="str">
        <f t="shared" si="2"/>
        <v>May</v>
      </c>
      <c r="H90" s="79">
        <f t="shared" si="6"/>
        <v>2051</v>
      </c>
      <c r="I90" s="80">
        <f t="shared" si="7"/>
        <v>8981409</v>
      </c>
      <c r="J90" s="10"/>
      <c r="K90" s="17"/>
      <c r="L90" s="81"/>
      <c r="M90" s="17"/>
      <c r="N90" s="82">
        <f t="shared" si="9"/>
        <v>165198</v>
      </c>
      <c r="O90" s="17"/>
      <c r="P90" s="87">
        <f t="shared" si="8"/>
        <v>45733</v>
      </c>
      <c r="Q90" s="87">
        <f t="shared" si="10"/>
        <v>210931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6</v>
      </c>
      <c r="D91" s="75"/>
      <c r="E91" s="76">
        <f t="shared" si="4"/>
        <v>73</v>
      </c>
      <c r="F91" s="77">
        <f t="shared" si="12"/>
        <v>28</v>
      </c>
      <c r="G91" s="78" t="str">
        <f t="shared" si="2"/>
        <v>Jun</v>
      </c>
      <c r="H91" s="79">
        <f t="shared" si="6"/>
        <v>2051</v>
      </c>
      <c r="I91" s="80">
        <f t="shared" si="7"/>
        <v>8815385</v>
      </c>
      <c r="J91" s="10"/>
      <c r="K91" s="17"/>
      <c r="L91" s="81"/>
      <c r="M91" s="17"/>
      <c r="N91" s="82">
        <f t="shared" si="9"/>
        <v>166024</v>
      </c>
      <c r="O91" s="17"/>
      <c r="P91" s="87">
        <f t="shared" si="8"/>
        <v>44907</v>
      </c>
      <c r="Q91" s="87">
        <f t="shared" si="10"/>
        <v>210931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7</v>
      </c>
      <c r="D92" s="75"/>
      <c r="E92" s="76">
        <f t="shared" si="4"/>
        <v>74</v>
      </c>
      <c r="F92" s="77">
        <f t="shared" si="12"/>
        <v>28</v>
      </c>
      <c r="G92" s="78" t="str">
        <f t="shared" si="2"/>
        <v>Jul</v>
      </c>
      <c r="H92" s="79">
        <f t="shared" si="6"/>
        <v>2051</v>
      </c>
      <c r="I92" s="80">
        <f t="shared" si="7"/>
        <v>8648530</v>
      </c>
      <c r="J92" s="10"/>
      <c r="K92" s="17"/>
      <c r="L92" s="81"/>
      <c r="M92" s="17"/>
      <c r="N92" s="82">
        <f t="shared" si="9"/>
        <v>166855</v>
      </c>
      <c r="O92" s="17"/>
      <c r="P92" s="87">
        <f t="shared" si="8"/>
        <v>44076</v>
      </c>
      <c r="Q92" s="87">
        <f t="shared" si="10"/>
        <v>210931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8</v>
      </c>
      <c r="D93" s="75"/>
      <c r="E93" s="76">
        <f t="shared" si="4"/>
        <v>75</v>
      </c>
      <c r="F93" s="77">
        <f t="shared" si="12"/>
        <v>28</v>
      </c>
      <c r="G93" s="78" t="str">
        <f t="shared" si="2"/>
        <v>Ago</v>
      </c>
      <c r="H93" s="79">
        <f t="shared" si="6"/>
        <v>2051</v>
      </c>
      <c r="I93" s="80">
        <f t="shared" si="7"/>
        <v>8480841</v>
      </c>
      <c r="J93" s="10"/>
      <c r="K93" s="17"/>
      <c r="L93" s="81"/>
      <c r="M93" s="17"/>
      <c r="N93" s="82">
        <f t="shared" si="9"/>
        <v>167689</v>
      </c>
      <c r="O93" s="17"/>
      <c r="P93" s="87">
        <f t="shared" si="8"/>
        <v>43242</v>
      </c>
      <c r="Q93" s="87">
        <f t="shared" si="10"/>
        <v>210931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9</v>
      </c>
      <c r="D94" s="75"/>
      <c r="E94" s="76">
        <f t="shared" si="4"/>
        <v>76</v>
      </c>
      <c r="F94" s="77">
        <f t="shared" si="12"/>
        <v>28</v>
      </c>
      <c r="G94" s="78" t="str">
        <f t="shared" si="2"/>
        <v>Sep</v>
      </c>
      <c r="H94" s="79">
        <f t="shared" si="6"/>
        <v>2051</v>
      </c>
      <c r="I94" s="80">
        <f t="shared" si="7"/>
        <v>8312314</v>
      </c>
      <c r="J94" s="10"/>
      <c r="K94" s="17"/>
      <c r="L94" s="81"/>
      <c r="M94" s="17"/>
      <c r="N94" s="82">
        <f t="shared" si="9"/>
        <v>168527</v>
      </c>
      <c r="O94" s="17"/>
      <c r="P94" s="87">
        <f t="shared" si="8"/>
        <v>42404</v>
      </c>
      <c r="Q94" s="87">
        <f t="shared" si="10"/>
        <v>210931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10</v>
      </c>
      <c r="D95" s="75"/>
      <c r="E95" s="76">
        <f t="shared" si="4"/>
        <v>77</v>
      </c>
      <c r="F95" s="77">
        <f t="shared" si="12"/>
        <v>28</v>
      </c>
      <c r="G95" s="78" t="str">
        <f t="shared" si="2"/>
        <v>Oct</v>
      </c>
      <c r="H95" s="79">
        <f t="shared" si="6"/>
        <v>2051</v>
      </c>
      <c r="I95" s="80">
        <f t="shared" si="7"/>
        <v>8142944</v>
      </c>
      <c r="J95" s="10"/>
      <c r="K95" s="17"/>
      <c r="L95" s="81"/>
      <c r="M95" s="17"/>
      <c r="N95" s="82">
        <f t="shared" si="9"/>
        <v>169370</v>
      </c>
      <c r="O95" s="17"/>
      <c r="P95" s="87">
        <f t="shared" si="8"/>
        <v>41561</v>
      </c>
      <c r="Q95" s="87">
        <f t="shared" si="10"/>
        <v>210931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11</v>
      </c>
      <c r="D96" s="75"/>
      <c r="E96" s="76">
        <f t="shared" si="4"/>
        <v>78</v>
      </c>
      <c r="F96" s="77">
        <f t="shared" si="12"/>
        <v>28</v>
      </c>
      <c r="G96" s="78" t="str">
        <f t="shared" si="2"/>
        <v>Nov</v>
      </c>
      <c r="H96" s="79">
        <f t="shared" si="6"/>
        <v>2051</v>
      </c>
      <c r="I96" s="80">
        <f t="shared" si="7"/>
        <v>7972727</v>
      </c>
      <c r="J96" s="10"/>
      <c r="K96" s="17"/>
      <c r="L96" s="81"/>
      <c r="M96" s="17"/>
      <c r="N96" s="82">
        <f t="shared" si="9"/>
        <v>170217</v>
      </c>
      <c r="O96" s="17"/>
      <c r="P96" s="87">
        <f t="shared" si="8"/>
        <v>40714</v>
      </c>
      <c r="Q96" s="87">
        <f t="shared" si="10"/>
        <v>210931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12</v>
      </c>
      <c r="D97" s="75"/>
      <c r="E97" s="76">
        <f t="shared" si="4"/>
        <v>79</v>
      </c>
      <c r="F97" s="77">
        <f t="shared" si="12"/>
        <v>28</v>
      </c>
      <c r="G97" s="78" t="str">
        <f t="shared" si="2"/>
        <v>Dic</v>
      </c>
      <c r="H97" s="79">
        <f t="shared" si="6"/>
        <v>2051</v>
      </c>
      <c r="I97" s="80">
        <f t="shared" si="7"/>
        <v>7801659</v>
      </c>
      <c r="J97" s="10"/>
      <c r="K97" s="17"/>
      <c r="L97" s="81"/>
      <c r="M97" s="17"/>
      <c r="N97" s="82">
        <f t="shared" si="9"/>
        <v>171068</v>
      </c>
      <c r="O97" s="17"/>
      <c r="P97" s="87">
        <f t="shared" si="8"/>
        <v>39863</v>
      </c>
      <c r="Q97" s="87">
        <f t="shared" si="10"/>
        <v>210931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1</v>
      </c>
      <c r="D98" s="75"/>
      <c r="E98" s="76">
        <f t="shared" si="4"/>
        <v>80</v>
      </c>
      <c r="F98" s="77">
        <f t="shared" si="12"/>
        <v>28</v>
      </c>
      <c r="G98" s="78" t="str">
        <f t="shared" si="2"/>
        <v>Ene</v>
      </c>
      <c r="H98" s="79">
        <f t="shared" si="6"/>
        <v>2052</v>
      </c>
      <c r="I98" s="80">
        <f t="shared" si="7"/>
        <v>7629736</v>
      </c>
      <c r="J98" s="10"/>
      <c r="K98" s="17"/>
      <c r="L98" s="81"/>
      <c r="M98" s="17"/>
      <c r="N98" s="82">
        <f t="shared" si="9"/>
        <v>171923</v>
      </c>
      <c r="O98" s="17"/>
      <c r="P98" s="87">
        <f t="shared" si="8"/>
        <v>39008</v>
      </c>
      <c r="Q98" s="87">
        <f t="shared" si="10"/>
        <v>210931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2</v>
      </c>
      <c r="D99" s="75"/>
      <c r="E99" s="76">
        <f t="shared" si="4"/>
        <v>81</v>
      </c>
      <c r="F99" s="77">
        <f t="shared" si="12"/>
        <v>28</v>
      </c>
      <c r="G99" s="78" t="str">
        <f t="shared" si="2"/>
        <v>Feb</v>
      </c>
      <c r="H99" s="79">
        <f t="shared" si="6"/>
        <v>2052</v>
      </c>
      <c r="I99" s="80">
        <f t="shared" si="7"/>
        <v>7456953</v>
      </c>
      <c r="J99" s="10"/>
      <c r="K99" s="17"/>
      <c r="L99" s="81"/>
      <c r="M99" s="17"/>
      <c r="N99" s="82">
        <f t="shared" si="9"/>
        <v>172783</v>
      </c>
      <c r="O99" s="17"/>
      <c r="P99" s="87">
        <f t="shared" si="8"/>
        <v>38148</v>
      </c>
      <c r="Q99" s="87">
        <f t="shared" si="10"/>
        <v>210931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3</v>
      </c>
      <c r="D100" s="75"/>
      <c r="E100" s="76">
        <f t="shared" si="4"/>
        <v>82</v>
      </c>
      <c r="F100" s="88">
        <f t="shared" si="12"/>
        <v>28</v>
      </c>
      <c r="G100" s="78" t="str">
        <f t="shared" si="2"/>
        <v>Mar</v>
      </c>
      <c r="H100" s="89">
        <f t="shared" si="6"/>
        <v>2052</v>
      </c>
      <c r="I100" s="80">
        <f t="shared" si="7"/>
        <v>7283306</v>
      </c>
      <c r="J100" s="10"/>
      <c r="K100" s="17"/>
      <c r="L100" s="81"/>
      <c r="M100" s="17"/>
      <c r="N100" s="82">
        <f t="shared" si="9"/>
        <v>173647</v>
      </c>
      <c r="O100" s="17"/>
      <c r="P100" s="87">
        <f t="shared" si="8"/>
        <v>37284</v>
      </c>
      <c r="Q100" s="87">
        <f t="shared" si="10"/>
        <v>210931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4</v>
      </c>
      <c r="D101" s="75"/>
      <c r="E101" s="76">
        <f t="shared" si="4"/>
        <v>83</v>
      </c>
      <c r="F101" s="77">
        <f t="shared" si="12"/>
        <v>28</v>
      </c>
      <c r="G101" s="78" t="str">
        <f t="shared" si="2"/>
        <v>Abr</v>
      </c>
      <c r="H101" s="79">
        <f t="shared" si="6"/>
        <v>2052</v>
      </c>
      <c r="I101" s="80">
        <f t="shared" si="7"/>
        <v>7108791</v>
      </c>
      <c r="J101" s="10"/>
      <c r="K101" s="17"/>
      <c r="L101" s="81"/>
      <c r="M101" s="17"/>
      <c r="N101" s="82">
        <f t="shared" si="9"/>
        <v>174515</v>
      </c>
      <c r="O101" s="17"/>
      <c r="P101" s="87">
        <f t="shared" si="8"/>
        <v>36416</v>
      </c>
      <c r="Q101" s="87">
        <f t="shared" si="10"/>
        <v>210931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5</v>
      </c>
      <c r="D102" s="75"/>
      <c r="E102" s="76">
        <f t="shared" si="4"/>
        <v>84</v>
      </c>
      <c r="F102" s="77">
        <f t="shared" si="12"/>
        <v>28</v>
      </c>
      <c r="G102" s="78" t="str">
        <f t="shared" si="2"/>
        <v>May</v>
      </c>
      <c r="H102" s="79">
        <f t="shared" si="6"/>
        <v>2052</v>
      </c>
      <c r="I102" s="80">
        <f t="shared" si="7"/>
        <v>6933403</v>
      </c>
      <c r="J102" s="10"/>
      <c r="K102" s="17"/>
      <c r="L102" s="81"/>
      <c r="M102" s="17"/>
      <c r="N102" s="82">
        <f t="shared" si="9"/>
        <v>175388</v>
      </c>
      <c r="O102" s="17"/>
      <c r="P102" s="87">
        <f t="shared" si="8"/>
        <v>35543</v>
      </c>
      <c r="Q102" s="87">
        <f t="shared" si="10"/>
        <v>210931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6</v>
      </c>
      <c r="D103" s="75"/>
      <c r="E103" s="76">
        <f t="shared" si="4"/>
        <v>85</v>
      </c>
      <c r="F103" s="77">
        <f t="shared" si="12"/>
        <v>28</v>
      </c>
      <c r="G103" s="78" t="str">
        <f t="shared" si="2"/>
        <v>Jun</v>
      </c>
      <c r="H103" s="79">
        <f t="shared" si="6"/>
        <v>2052</v>
      </c>
      <c r="I103" s="80">
        <f t="shared" si="7"/>
        <v>6757139</v>
      </c>
      <c r="J103" s="10"/>
      <c r="K103" s="17"/>
      <c r="L103" s="81"/>
      <c r="M103" s="17"/>
      <c r="N103" s="82">
        <f t="shared" si="9"/>
        <v>176264</v>
      </c>
      <c r="O103" s="17"/>
      <c r="P103" s="87">
        <f t="shared" si="8"/>
        <v>34667</v>
      </c>
      <c r="Q103" s="87">
        <f t="shared" si="10"/>
        <v>210931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7</v>
      </c>
      <c r="D104" s="75"/>
      <c r="E104" s="76">
        <f t="shared" si="4"/>
        <v>86</v>
      </c>
      <c r="F104" s="77">
        <f t="shared" si="12"/>
        <v>28</v>
      </c>
      <c r="G104" s="78" t="str">
        <f t="shared" si="2"/>
        <v>Jul</v>
      </c>
      <c r="H104" s="79">
        <f t="shared" si="6"/>
        <v>2052</v>
      </c>
      <c r="I104" s="80">
        <f t="shared" si="7"/>
        <v>6579993</v>
      </c>
      <c r="J104" s="10"/>
      <c r="K104" s="17"/>
      <c r="L104" s="81"/>
      <c r="M104" s="17"/>
      <c r="N104" s="82">
        <f t="shared" si="9"/>
        <v>177146</v>
      </c>
      <c r="O104" s="17"/>
      <c r="P104" s="87">
        <f t="shared" si="8"/>
        <v>33785</v>
      </c>
      <c r="Q104" s="87">
        <f t="shared" si="10"/>
        <v>210931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8</v>
      </c>
      <c r="D105" s="75"/>
      <c r="E105" s="76">
        <f t="shared" si="4"/>
        <v>87</v>
      </c>
      <c r="F105" s="77">
        <f t="shared" si="12"/>
        <v>28</v>
      </c>
      <c r="G105" s="78" t="str">
        <f t="shared" si="2"/>
        <v>Ago</v>
      </c>
      <c r="H105" s="79">
        <f t="shared" si="6"/>
        <v>2052</v>
      </c>
      <c r="I105" s="80">
        <f t="shared" si="7"/>
        <v>6401961</v>
      </c>
      <c r="J105" s="10"/>
      <c r="K105" s="17"/>
      <c r="L105" s="81"/>
      <c r="M105" s="17"/>
      <c r="N105" s="82">
        <f t="shared" si="9"/>
        <v>178032</v>
      </c>
      <c r="O105" s="17"/>
      <c r="P105" s="87">
        <f t="shared" si="8"/>
        <v>32899</v>
      </c>
      <c r="Q105" s="87">
        <f t="shared" si="10"/>
        <v>210931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9</v>
      </c>
      <c r="D106" s="75"/>
      <c r="E106" s="76">
        <f t="shared" si="4"/>
        <v>88</v>
      </c>
      <c r="F106" s="77">
        <f t="shared" si="12"/>
        <v>28</v>
      </c>
      <c r="G106" s="78" t="str">
        <f t="shared" si="2"/>
        <v>Sep</v>
      </c>
      <c r="H106" s="79">
        <f t="shared" si="6"/>
        <v>2052</v>
      </c>
      <c r="I106" s="80">
        <f t="shared" si="7"/>
        <v>6223039</v>
      </c>
      <c r="J106" s="10"/>
      <c r="K106" s="17"/>
      <c r="L106" s="81"/>
      <c r="M106" s="17"/>
      <c r="N106" s="82">
        <f t="shared" si="9"/>
        <v>178922</v>
      </c>
      <c r="O106" s="17"/>
      <c r="P106" s="87">
        <f t="shared" si="8"/>
        <v>32009</v>
      </c>
      <c r="Q106" s="87">
        <f t="shared" si="10"/>
        <v>210931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10</v>
      </c>
      <c r="D107" s="75"/>
      <c r="E107" s="76">
        <f t="shared" si="4"/>
        <v>89</v>
      </c>
      <c r="F107" s="77">
        <f t="shared" si="12"/>
        <v>28</v>
      </c>
      <c r="G107" s="78" t="str">
        <f t="shared" si="2"/>
        <v>Oct</v>
      </c>
      <c r="H107" s="79">
        <f t="shared" si="6"/>
        <v>2052</v>
      </c>
      <c r="I107" s="80">
        <f t="shared" si="7"/>
        <v>6043223</v>
      </c>
      <c r="J107" s="10"/>
      <c r="K107" s="17"/>
      <c r="L107" s="81"/>
      <c r="M107" s="17"/>
      <c r="N107" s="82">
        <f t="shared" si="9"/>
        <v>179816</v>
      </c>
      <c r="O107" s="17"/>
      <c r="P107" s="87">
        <f t="shared" si="8"/>
        <v>31115</v>
      </c>
      <c r="Q107" s="87">
        <f t="shared" si="10"/>
        <v>210931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11</v>
      </c>
      <c r="D108" s="75"/>
      <c r="E108" s="76">
        <f t="shared" si="4"/>
        <v>90</v>
      </c>
      <c r="F108" s="77">
        <f t="shared" si="12"/>
        <v>28</v>
      </c>
      <c r="G108" s="78" t="str">
        <f t="shared" si="2"/>
        <v>Nov</v>
      </c>
      <c r="H108" s="79">
        <f t="shared" si="6"/>
        <v>2052</v>
      </c>
      <c r="I108" s="80">
        <f t="shared" si="7"/>
        <v>5862508</v>
      </c>
      <c r="J108" s="10"/>
      <c r="K108" s="17"/>
      <c r="L108" s="81"/>
      <c r="M108" s="17"/>
      <c r="N108" s="82">
        <f t="shared" si="9"/>
        <v>180715</v>
      </c>
      <c r="O108" s="17"/>
      <c r="P108" s="87">
        <f t="shared" si="8"/>
        <v>30216</v>
      </c>
      <c r="Q108" s="87">
        <f t="shared" si="10"/>
        <v>210931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12</v>
      </c>
      <c r="D109" s="75"/>
      <c r="E109" s="76">
        <f t="shared" si="4"/>
        <v>91</v>
      </c>
      <c r="F109" s="77">
        <f t="shared" si="12"/>
        <v>28</v>
      </c>
      <c r="G109" s="78" t="str">
        <f t="shared" si="2"/>
        <v>Dic</v>
      </c>
      <c r="H109" s="79">
        <f t="shared" si="6"/>
        <v>2052</v>
      </c>
      <c r="I109" s="80">
        <f t="shared" si="7"/>
        <v>5680889</v>
      </c>
      <c r="J109" s="10"/>
      <c r="K109" s="17"/>
      <c r="L109" s="81"/>
      <c r="M109" s="17"/>
      <c r="N109" s="82">
        <f t="shared" si="9"/>
        <v>181619</v>
      </c>
      <c r="O109" s="17"/>
      <c r="P109" s="87">
        <f t="shared" si="8"/>
        <v>29312</v>
      </c>
      <c r="Q109" s="87">
        <f t="shared" si="10"/>
        <v>210931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1</v>
      </c>
      <c r="D110" s="75"/>
      <c r="E110" s="76">
        <f t="shared" si="4"/>
        <v>92</v>
      </c>
      <c r="F110" s="77">
        <f t="shared" si="12"/>
        <v>28</v>
      </c>
      <c r="G110" s="78" t="str">
        <f t="shared" si="2"/>
        <v>Ene</v>
      </c>
      <c r="H110" s="79">
        <f t="shared" si="6"/>
        <v>2053</v>
      </c>
      <c r="I110" s="80">
        <f t="shared" si="7"/>
        <v>5498362</v>
      </c>
      <c r="J110" s="10"/>
      <c r="K110" s="17"/>
      <c r="L110" s="81"/>
      <c r="M110" s="17"/>
      <c r="N110" s="82">
        <f t="shared" si="9"/>
        <v>182527</v>
      </c>
      <c r="O110" s="17"/>
      <c r="P110" s="87">
        <f t="shared" si="8"/>
        <v>28404</v>
      </c>
      <c r="Q110" s="87">
        <f t="shared" si="10"/>
        <v>210931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2</v>
      </c>
      <c r="D111" s="75"/>
      <c r="E111" s="76">
        <f t="shared" si="4"/>
        <v>93</v>
      </c>
      <c r="F111" s="77">
        <f t="shared" si="12"/>
        <v>28</v>
      </c>
      <c r="G111" s="78" t="str">
        <f t="shared" si="2"/>
        <v>Feb</v>
      </c>
      <c r="H111" s="79">
        <f t="shared" si="6"/>
        <v>2053</v>
      </c>
      <c r="I111" s="80">
        <f t="shared" si="7"/>
        <v>5314922</v>
      </c>
      <c r="J111" s="10"/>
      <c r="K111" s="17"/>
      <c r="L111" s="81"/>
      <c r="M111" s="17"/>
      <c r="N111" s="82">
        <f t="shared" si="9"/>
        <v>183440</v>
      </c>
      <c r="O111" s="17"/>
      <c r="P111" s="87">
        <f t="shared" si="8"/>
        <v>27491</v>
      </c>
      <c r="Q111" s="87">
        <f t="shared" si="10"/>
        <v>210931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3</v>
      </c>
      <c r="D112" s="75"/>
      <c r="E112" s="76">
        <f t="shared" si="4"/>
        <v>94</v>
      </c>
      <c r="F112" s="88">
        <f t="shared" si="12"/>
        <v>28</v>
      </c>
      <c r="G112" s="78" t="str">
        <f t="shared" si="2"/>
        <v>Mar</v>
      </c>
      <c r="H112" s="89">
        <f t="shared" si="6"/>
        <v>2053</v>
      </c>
      <c r="I112" s="80">
        <f t="shared" si="7"/>
        <v>5130565</v>
      </c>
      <c r="J112" s="10"/>
      <c r="K112" s="17"/>
      <c r="L112" s="81"/>
      <c r="M112" s="17"/>
      <c r="N112" s="82">
        <f t="shared" si="9"/>
        <v>184357</v>
      </c>
      <c r="O112" s="17"/>
      <c r="P112" s="87">
        <f t="shared" si="8"/>
        <v>26574</v>
      </c>
      <c r="Q112" s="87">
        <f t="shared" si="10"/>
        <v>210931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4</v>
      </c>
      <c r="D113" s="75"/>
      <c r="E113" s="76">
        <f t="shared" si="4"/>
        <v>95</v>
      </c>
      <c r="F113" s="77">
        <f t="shared" si="12"/>
        <v>28</v>
      </c>
      <c r="G113" s="78" t="str">
        <f t="shared" si="2"/>
        <v>Abr</v>
      </c>
      <c r="H113" s="79">
        <f t="shared" si="6"/>
        <v>2053</v>
      </c>
      <c r="I113" s="80">
        <f t="shared" si="7"/>
        <v>4945286</v>
      </c>
      <c r="J113" s="10"/>
      <c r="K113" s="17"/>
      <c r="L113" s="81"/>
      <c r="M113" s="17"/>
      <c r="N113" s="82">
        <f t="shared" si="9"/>
        <v>185279</v>
      </c>
      <c r="O113" s="17"/>
      <c r="P113" s="87">
        <f t="shared" si="8"/>
        <v>25652</v>
      </c>
      <c r="Q113" s="87">
        <f t="shared" si="10"/>
        <v>210931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5</v>
      </c>
      <c r="D114" s="75"/>
      <c r="E114" s="76">
        <f t="shared" si="4"/>
        <v>96</v>
      </c>
      <c r="F114" s="77">
        <f t="shared" si="12"/>
        <v>28</v>
      </c>
      <c r="G114" s="78" t="str">
        <f t="shared" si="2"/>
        <v>May</v>
      </c>
      <c r="H114" s="79">
        <f t="shared" si="6"/>
        <v>2053</v>
      </c>
      <c r="I114" s="80">
        <f t="shared" si="7"/>
        <v>4759081</v>
      </c>
      <c r="J114" s="10"/>
      <c r="K114" s="17"/>
      <c r="L114" s="81"/>
      <c r="M114" s="17"/>
      <c r="N114" s="82">
        <f t="shared" si="9"/>
        <v>186205</v>
      </c>
      <c r="O114" s="17"/>
      <c r="P114" s="87">
        <f t="shared" si="8"/>
        <v>24726</v>
      </c>
      <c r="Q114" s="87">
        <f t="shared" si="10"/>
        <v>210931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6</v>
      </c>
      <c r="D115" s="75"/>
      <c r="E115" s="76">
        <f t="shared" si="4"/>
        <v>97</v>
      </c>
      <c r="F115" s="77">
        <f t="shared" si="12"/>
        <v>28</v>
      </c>
      <c r="G115" s="78" t="str">
        <f t="shared" si="2"/>
        <v>Jun</v>
      </c>
      <c r="H115" s="79">
        <f t="shared" si="6"/>
        <v>2053</v>
      </c>
      <c r="I115" s="80">
        <f t="shared" si="7"/>
        <v>4571945</v>
      </c>
      <c r="J115" s="10"/>
      <c r="K115" s="17"/>
      <c r="L115" s="81"/>
      <c r="M115" s="17"/>
      <c r="N115" s="82">
        <f t="shared" si="9"/>
        <v>187136</v>
      </c>
      <c r="O115" s="17"/>
      <c r="P115" s="87">
        <f t="shared" si="8"/>
        <v>23795</v>
      </c>
      <c r="Q115" s="87">
        <f t="shared" si="10"/>
        <v>210931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7</v>
      </c>
      <c r="D116" s="75"/>
      <c r="E116" s="76">
        <f t="shared" si="4"/>
        <v>98</v>
      </c>
      <c r="F116" s="77">
        <f t="shared" si="12"/>
        <v>28</v>
      </c>
      <c r="G116" s="78" t="str">
        <f t="shared" si="2"/>
        <v>Jul</v>
      </c>
      <c r="H116" s="79">
        <f t="shared" si="6"/>
        <v>2053</v>
      </c>
      <c r="I116" s="80">
        <f t="shared" si="7"/>
        <v>4383873</v>
      </c>
      <c r="J116" s="10"/>
      <c r="K116" s="17"/>
      <c r="L116" s="81"/>
      <c r="M116" s="17"/>
      <c r="N116" s="82">
        <f t="shared" si="9"/>
        <v>188072</v>
      </c>
      <c r="O116" s="17"/>
      <c r="P116" s="87">
        <f t="shared" si="8"/>
        <v>22859</v>
      </c>
      <c r="Q116" s="87">
        <f t="shared" si="10"/>
        <v>210931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8</v>
      </c>
      <c r="D117" s="75"/>
      <c r="E117" s="76">
        <f t="shared" si="4"/>
        <v>99</v>
      </c>
      <c r="F117" s="77">
        <f t="shared" si="12"/>
        <v>28</v>
      </c>
      <c r="G117" s="78" t="str">
        <f t="shared" si="2"/>
        <v>Ago</v>
      </c>
      <c r="H117" s="79">
        <f t="shared" si="6"/>
        <v>2053</v>
      </c>
      <c r="I117" s="80">
        <f t="shared" si="7"/>
        <v>4194861</v>
      </c>
      <c r="J117" s="10"/>
      <c r="K117" s="17"/>
      <c r="L117" s="81"/>
      <c r="M117" s="17"/>
      <c r="N117" s="82">
        <f t="shared" si="9"/>
        <v>189012</v>
      </c>
      <c r="O117" s="17"/>
      <c r="P117" s="87">
        <f t="shared" si="8"/>
        <v>21919</v>
      </c>
      <c r="Q117" s="87">
        <f t="shared" si="10"/>
        <v>210931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9</v>
      </c>
      <c r="D118" s="75"/>
      <c r="E118" s="76">
        <f t="shared" si="4"/>
        <v>100</v>
      </c>
      <c r="F118" s="77">
        <f t="shared" si="12"/>
        <v>28</v>
      </c>
      <c r="G118" s="78" t="str">
        <f t="shared" si="2"/>
        <v>Sep</v>
      </c>
      <c r="H118" s="79">
        <f t="shared" si="6"/>
        <v>2053</v>
      </c>
      <c r="I118" s="80">
        <f t="shared" si="7"/>
        <v>4004904</v>
      </c>
      <c r="J118" s="10"/>
      <c r="K118" s="17"/>
      <c r="L118" s="81"/>
      <c r="M118" s="17"/>
      <c r="N118" s="82">
        <f t="shared" si="9"/>
        <v>189957</v>
      </c>
      <c r="O118" s="17"/>
      <c r="P118" s="87">
        <f t="shared" si="8"/>
        <v>20974</v>
      </c>
      <c r="Q118" s="87">
        <f t="shared" si="10"/>
        <v>210931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10</v>
      </c>
      <c r="D119" s="75"/>
      <c r="E119" s="76">
        <f t="shared" si="4"/>
        <v>101</v>
      </c>
      <c r="F119" s="77">
        <f t="shared" si="12"/>
        <v>28</v>
      </c>
      <c r="G119" s="78" t="str">
        <f t="shared" si="2"/>
        <v>Oct</v>
      </c>
      <c r="H119" s="79">
        <f t="shared" si="6"/>
        <v>2053</v>
      </c>
      <c r="I119" s="80">
        <f t="shared" si="7"/>
        <v>3813997</v>
      </c>
      <c r="J119" s="10"/>
      <c r="K119" s="17"/>
      <c r="L119" s="81"/>
      <c r="M119" s="17"/>
      <c r="N119" s="82">
        <f t="shared" si="9"/>
        <v>190907</v>
      </c>
      <c r="O119" s="17"/>
      <c r="P119" s="87">
        <f t="shared" si="8"/>
        <v>20024</v>
      </c>
      <c r="Q119" s="87">
        <f t="shared" si="10"/>
        <v>210931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11</v>
      </c>
      <c r="D120" s="75"/>
      <c r="E120" s="76">
        <f t="shared" si="4"/>
        <v>102</v>
      </c>
      <c r="F120" s="77">
        <f t="shared" si="12"/>
        <v>28</v>
      </c>
      <c r="G120" s="78" t="str">
        <f t="shared" si="2"/>
        <v>Nov</v>
      </c>
      <c r="H120" s="79">
        <f t="shared" si="6"/>
        <v>2053</v>
      </c>
      <c r="I120" s="80">
        <f t="shared" si="7"/>
        <v>3622135</v>
      </c>
      <c r="J120" s="10"/>
      <c r="K120" s="17"/>
      <c r="L120" s="81"/>
      <c r="M120" s="17"/>
      <c r="N120" s="82">
        <f t="shared" si="9"/>
        <v>191862</v>
      </c>
      <c r="O120" s="17"/>
      <c r="P120" s="87">
        <f t="shared" si="8"/>
        <v>19069</v>
      </c>
      <c r="Q120" s="87">
        <f t="shared" si="10"/>
        <v>210931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12</v>
      </c>
      <c r="D121" s="75"/>
      <c r="E121" s="76">
        <f t="shared" si="4"/>
        <v>103</v>
      </c>
      <c r="F121" s="77">
        <f t="shared" si="12"/>
        <v>28</v>
      </c>
      <c r="G121" s="78" t="str">
        <f t="shared" si="2"/>
        <v>Dic</v>
      </c>
      <c r="H121" s="79">
        <f t="shared" si="6"/>
        <v>2053</v>
      </c>
      <c r="I121" s="80">
        <f t="shared" si="7"/>
        <v>3429314</v>
      </c>
      <c r="J121" s="10"/>
      <c r="K121" s="17"/>
      <c r="L121" s="81"/>
      <c r="M121" s="17"/>
      <c r="N121" s="82">
        <f t="shared" si="9"/>
        <v>192821</v>
      </c>
      <c r="O121" s="17"/>
      <c r="P121" s="87">
        <f t="shared" si="8"/>
        <v>18110</v>
      </c>
      <c r="Q121" s="87">
        <f t="shared" si="10"/>
        <v>210931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1</v>
      </c>
      <c r="D122" s="75"/>
      <c r="E122" s="76">
        <f t="shared" si="4"/>
        <v>104</v>
      </c>
      <c r="F122" s="77">
        <f t="shared" si="12"/>
        <v>28</v>
      </c>
      <c r="G122" s="78" t="str">
        <f t="shared" si="2"/>
        <v>Ene</v>
      </c>
      <c r="H122" s="79">
        <f t="shared" si="6"/>
        <v>2054</v>
      </c>
      <c r="I122" s="80">
        <f t="shared" si="7"/>
        <v>3235529</v>
      </c>
      <c r="J122" s="10"/>
      <c r="K122" s="17"/>
      <c r="L122" s="81"/>
      <c r="M122" s="17"/>
      <c r="N122" s="82">
        <f t="shared" si="9"/>
        <v>193785</v>
      </c>
      <c r="O122" s="17"/>
      <c r="P122" s="87">
        <f t="shared" si="8"/>
        <v>17146</v>
      </c>
      <c r="Q122" s="87">
        <f t="shared" si="10"/>
        <v>210931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2</v>
      </c>
      <c r="D123" s="75"/>
      <c r="E123" s="76">
        <f t="shared" si="4"/>
        <v>105</v>
      </c>
      <c r="F123" s="77">
        <f t="shared" si="12"/>
        <v>28</v>
      </c>
      <c r="G123" s="78" t="str">
        <f t="shared" si="2"/>
        <v>Feb</v>
      </c>
      <c r="H123" s="79">
        <f t="shared" si="6"/>
        <v>2054</v>
      </c>
      <c r="I123" s="80">
        <f t="shared" si="7"/>
        <v>3040775</v>
      </c>
      <c r="J123" s="10"/>
      <c r="K123" s="17"/>
      <c r="L123" s="81"/>
      <c r="M123" s="17"/>
      <c r="N123" s="82">
        <f t="shared" si="9"/>
        <v>194754</v>
      </c>
      <c r="O123" s="17"/>
      <c r="P123" s="87">
        <f t="shared" si="8"/>
        <v>16177</v>
      </c>
      <c r="Q123" s="87">
        <f t="shared" si="10"/>
        <v>210931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3</v>
      </c>
      <c r="D124" s="75"/>
      <c r="E124" s="76">
        <f t="shared" si="4"/>
        <v>106</v>
      </c>
      <c r="F124" s="88">
        <f t="shared" si="12"/>
        <v>28</v>
      </c>
      <c r="G124" s="78" t="str">
        <f t="shared" si="2"/>
        <v>Mar</v>
      </c>
      <c r="H124" s="89">
        <f t="shared" si="6"/>
        <v>2054</v>
      </c>
      <c r="I124" s="80">
        <f t="shared" si="7"/>
        <v>2845047</v>
      </c>
      <c r="J124" s="10"/>
      <c r="K124" s="17"/>
      <c r="L124" s="81"/>
      <c r="M124" s="17"/>
      <c r="N124" s="82">
        <f t="shared" si="9"/>
        <v>195728</v>
      </c>
      <c r="O124" s="17"/>
      <c r="P124" s="87">
        <f t="shared" si="8"/>
        <v>15203</v>
      </c>
      <c r="Q124" s="87">
        <f t="shared" si="10"/>
        <v>210931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4</v>
      </c>
      <c r="D125" s="75"/>
      <c r="E125" s="76">
        <f t="shared" si="4"/>
        <v>107</v>
      </c>
      <c r="F125" s="77">
        <f t="shared" si="12"/>
        <v>28</v>
      </c>
      <c r="G125" s="78" t="str">
        <f t="shared" si="2"/>
        <v>Abr</v>
      </c>
      <c r="H125" s="79">
        <f t="shared" si="6"/>
        <v>2054</v>
      </c>
      <c r="I125" s="80">
        <f t="shared" si="7"/>
        <v>2648341</v>
      </c>
      <c r="J125" s="10"/>
      <c r="K125" s="17"/>
      <c r="L125" s="81"/>
      <c r="M125" s="17"/>
      <c r="N125" s="82">
        <f t="shared" si="9"/>
        <v>196706</v>
      </c>
      <c r="O125" s="17"/>
      <c r="P125" s="87">
        <f t="shared" si="8"/>
        <v>14225</v>
      </c>
      <c r="Q125" s="87">
        <f t="shared" si="10"/>
        <v>210931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5</v>
      </c>
      <c r="D126" s="75"/>
      <c r="E126" s="76">
        <f t="shared" si="4"/>
        <v>108</v>
      </c>
      <c r="F126" s="77">
        <f t="shared" si="12"/>
        <v>28</v>
      </c>
      <c r="G126" s="78" t="str">
        <f t="shared" si="2"/>
        <v>May</v>
      </c>
      <c r="H126" s="79">
        <f t="shared" si="6"/>
        <v>2054</v>
      </c>
      <c r="I126" s="80">
        <f t="shared" si="7"/>
        <v>2450651</v>
      </c>
      <c r="J126" s="10"/>
      <c r="K126" s="17"/>
      <c r="L126" s="81"/>
      <c r="M126" s="17"/>
      <c r="N126" s="82">
        <f t="shared" si="9"/>
        <v>197690</v>
      </c>
      <c r="O126" s="17"/>
      <c r="P126" s="87">
        <f t="shared" si="8"/>
        <v>13241</v>
      </c>
      <c r="Q126" s="87">
        <f t="shared" si="10"/>
        <v>210931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6</v>
      </c>
      <c r="D127" s="75"/>
      <c r="E127" s="76">
        <f t="shared" si="4"/>
        <v>109</v>
      </c>
      <c r="F127" s="77">
        <f t="shared" si="12"/>
        <v>28</v>
      </c>
      <c r="G127" s="78" t="str">
        <f t="shared" si="2"/>
        <v>Jun</v>
      </c>
      <c r="H127" s="79">
        <f t="shared" si="6"/>
        <v>2054</v>
      </c>
      <c r="I127" s="80">
        <f t="shared" si="7"/>
        <v>2251973</v>
      </c>
      <c r="J127" s="10"/>
      <c r="K127" s="17"/>
      <c r="L127" s="81"/>
      <c r="M127" s="17"/>
      <c r="N127" s="82">
        <f t="shared" si="9"/>
        <v>198678</v>
      </c>
      <c r="O127" s="17"/>
      <c r="P127" s="87">
        <f t="shared" si="8"/>
        <v>12253</v>
      </c>
      <c r="Q127" s="87">
        <f t="shared" si="10"/>
        <v>210931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7</v>
      </c>
      <c r="D128" s="75"/>
      <c r="E128" s="76">
        <f t="shared" si="4"/>
        <v>110</v>
      </c>
      <c r="F128" s="77">
        <f t="shared" si="12"/>
        <v>28</v>
      </c>
      <c r="G128" s="78" t="str">
        <f t="shared" si="2"/>
        <v>Jul</v>
      </c>
      <c r="H128" s="79">
        <f t="shared" si="6"/>
        <v>2054</v>
      </c>
      <c r="I128" s="80">
        <f t="shared" si="7"/>
        <v>2052301</v>
      </c>
      <c r="J128" s="10"/>
      <c r="K128" s="17"/>
      <c r="L128" s="81"/>
      <c r="M128" s="17"/>
      <c r="N128" s="82">
        <f t="shared" si="9"/>
        <v>199672</v>
      </c>
      <c r="O128" s="17"/>
      <c r="P128" s="87">
        <f t="shared" si="8"/>
        <v>11259</v>
      </c>
      <c r="Q128" s="87">
        <f t="shared" si="10"/>
        <v>210931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8</v>
      </c>
      <c r="D129" s="75"/>
      <c r="E129" s="76">
        <f t="shared" si="4"/>
        <v>111</v>
      </c>
      <c r="F129" s="77">
        <f t="shared" si="12"/>
        <v>28</v>
      </c>
      <c r="G129" s="78" t="str">
        <f t="shared" si="2"/>
        <v>Ago</v>
      </c>
      <c r="H129" s="79">
        <f t="shared" si="6"/>
        <v>2054</v>
      </c>
      <c r="I129" s="80">
        <f t="shared" si="7"/>
        <v>1851631</v>
      </c>
      <c r="J129" s="10"/>
      <c r="K129" s="17"/>
      <c r="L129" s="81"/>
      <c r="M129" s="17"/>
      <c r="N129" s="82">
        <f t="shared" si="9"/>
        <v>200670</v>
      </c>
      <c r="O129" s="17"/>
      <c r="P129" s="87">
        <f t="shared" si="8"/>
        <v>10261</v>
      </c>
      <c r="Q129" s="87">
        <f t="shared" si="10"/>
        <v>210931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9</v>
      </c>
      <c r="D130" s="75"/>
      <c r="E130" s="76">
        <f t="shared" si="4"/>
        <v>112</v>
      </c>
      <c r="F130" s="77">
        <f t="shared" si="12"/>
        <v>28</v>
      </c>
      <c r="G130" s="78" t="str">
        <f t="shared" si="2"/>
        <v>Sep</v>
      </c>
      <c r="H130" s="79">
        <f t="shared" si="6"/>
        <v>2054</v>
      </c>
      <c r="I130" s="80">
        <f t="shared" si="7"/>
        <v>1649958</v>
      </c>
      <c r="J130" s="10"/>
      <c r="K130" s="17"/>
      <c r="L130" s="81"/>
      <c r="M130" s="17"/>
      <c r="N130" s="82">
        <f t="shared" si="9"/>
        <v>201673</v>
      </c>
      <c r="O130" s="17"/>
      <c r="P130" s="87">
        <f t="shared" si="8"/>
        <v>9258</v>
      </c>
      <c r="Q130" s="87">
        <f t="shared" si="10"/>
        <v>210931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10</v>
      </c>
      <c r="D131" s="75"/>
      <c r="E131" s="76">
        <f t="shared" si="4"/>
        <v>113</v>
      </c>
      <c r="F131" s="77">
        <f t="shared" si="12"/>
        <v>28</v>
      </c>
      <c r="G131" s="78" t="str">
        <f t="shared" si="2"/>
        <v>Oct</v>
      </c>
      <c r="H131" s="79">
        <f t="shared" si="6"/>
        <v>2054</v>
      </c>
      <c r="I131" s="80">
        <f t="shared" si="7"/>
        <v>1447276</v>
      </c>
      <c r="J131" s="10"/>
      <c r="K131" s="17"/>
      <c r="L131" s="81"/>
      <c r="M131" s="17"/>
      <c r="N131" s="82">
        <f t="shared" si="9"/>
        <v>202682</v>
      </c>
      <c r="O131" s="17"/>
      <c r="P131" s="87">
        <f t="shared" si="8"/>
        <v>8249</v>
      </c>
      <c r="Q131" s="87">
        <f t="shared" si="10"/>
        <v>210931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11</v>
      </c>
      <c r="D132" s="75"/>
      <c r="E132" s="76">
        <f t="shared" si="4"/>
        <v>114</v>
      </c>
      <c r="F132" s="77">
        <f t="shared" si="12"/>
        <v>28</v>
      </c>
      <c r="G132" s="78" t="str">
        <f t="shared" si="2"/>
        <v>Nov</v>
      </c>
      <c r="H132" s="79">
        <f t="shared" si="6"/>
        <v>2054</v>
      </c>
      <c r="I132" s="80">
        <f t="shared" si="7"/>
        <v>1243581</v>
      </c>
      <c r="J132" s="10"/>
      <c r="K132" s="17"/>
      <c r="L132" s="81"/>
      <c r="M132" s="17"/>
      <c r="N132" s="82">
        <f t="shared" si="9"/>
        <v>203695</v>
      </c>
      <c r="O132" s="17"/>
      <c r="P132" s="87">
        <f t="shared" si="8"/>
        <v>7236</v>
      </c>
      <c r="Q132" s="87">
        <f t="shared" si="10"/>
        <v>210931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12</v>
      </c>
      <c r="D133" s="75"/>
      <c r="E133" s="76">
        <f t="shared" si="4"/>
        <v>115</v>
      </c>
      <c r="F133" s="77">
        <f t="shared" si="12"/>
        <v>28</v>
      </c>
      <c r="G133" s="78" t="str">
        <f t="shared" si="2"/>
        <v>Dic</v>
      </c>
      <c r="H133" s="79">
        <f t="shared" si="6"/>
        <v>2054</v>
      </c>
      <c r="I133" s="80">
        <f t="shared" si="7"/>
        <v>1038867</v>
      </c>
      <c r="J133" s="10"/>
      <c r="K133" s="17"/>
      <c r="L133" s="81"/>
      <c r="M133" s="17"/>
      <c r="N133" s="82">
        <f t="shared" si="9"/>
        <v>204714</v>
      </c>
      <c r="O133" s="17"/>
      <c r="P133" s="87">
        <f t="shared" si="8"/>
        <v>6217</v>
      </c>
      <c r="Q133" s="87">
        <f t="shared" si="10"/>
        <v>210931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1</v>
      </c>
      <c r="D134" s="75"/>
      <c r="E134" s="76">
        <f t="shared" si="4"/>
        <v>116</v>
      </c>
      <c r="F134" s="77">
        <f t="shared" si="12"/>
        <v>28</v>
      </c>
      <c r="G134" s="78" t="str">
        <f t="shared" si="2"/>
        <v>Ene</v>
      </c>
      <c r="H134" s="79">
        <f t="shared" si="6"/>
        <v>2055</v>
      </c>
      <c r="I134" s="80">
        <f t="shared" si="7"/>
        <v>833130</v>
      </c>
      <c r="J134" s="10"/>
      <c r="K134" s="17"/>
      <c r="L134" s="81"/>
      <c r="M134" s="17"/>
      <c r="N134" s="82">
        <f t="shared" si="9"/>
        <v>205737</v>
      </c>
      <c r="O134" s="17"/>
      <c r="P134" s="87">
        <f t="shared" si="8"/>
        <v>5194</v>
      </c>
      <c r="Q134" s="87">
        <f t="shared" si="10"/>
        <v>210931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2</v>
      </c>
      <c r="D135" s="75"/>
      <c r="E135" s="76">
        <f t="shared" si="4"/>
        <v>117</v>
      </c>
      <c r="F135" s="77">
        <f t="shared" si="12"/>
        <v>28</v>
      </c>
      <c r="G135" s="78" t="str">
        <f t="shared" si="2"/>
        <v>Feb</v>
      </c>
      <c r="H135" s="79">
        <f t="shared" si="6"/>
        <v>2055</v>
      </c>
      <c r="I135" s="80">
        <f t="shared" si="7"/>
        <v>626364</v>
      </c>
      <c r="J135" s="10"/>
      <c r="K135" s="17"/>
      <c r="L135" s="81"/>
      <c r="M135" s="17"/>
      <c r="N135" s="82">
        <f t="shared" si="9"/>
        <v>206766</v>
      </c>
      <c r="O135" s="17"/>
      <c r="P135" s="87">
        <f t="shared" si="8"/>
        <v>4165</v>
      </c>
      <c r="Q135" s="87">
        <f t="shared" si="10"/>
        <v>210931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3</v>
      </c>
      <c r="D136" s="75"/>
      <c r="E136" s="76">
        <f t="shared" si="4"/>
        <v>118</v>
      </c>
      <c r="F136" s="88">
        <f t="shared" si="12"/>
        <v>28</v>
      </c>
      <c r="G136" s="78" t="str">
        <f t="shared" si="2"/>
        <v>Mar</v>
      </c>
      <c r="H136" s="89">
        <f t="shared" si="6"/>
        <v>2055</v>
      </c>
      <c r="I136" s="80">
        <f t="shared" si="7"/>
        <v>418564</v>
      </c>
      <c r="J136" s="10"/>
      <c r="K136" s="17"/>
      <c r="L136" s="81"/>
      <c r="M136" s="17"/>
      <c r="N136" s="82">
        <f t="shared" si="9"/>
        <v>207800</v>
      </c>
      <c r="O136" s="17"/>
      <c r="P136" s="87">
        <f t="shared" si="8"/>
        <v>3131</v>
      </c>
      <c r="Q136" s="87">
        <f t="shared" si="10"/>
        <v>210931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4</v>
      </c>
      <c r="D137" s="75"/>
      <c r="E137" s="76">
        <f t="shared" si="4"/>
        <v>119</v>
      </c>
      <c r="F137" s="77">
        <f t="shared" si="12"/>
        <v>28</v>
      </c>
      <c r="G137" s="78" t="str">
        <f t="shared" si="2"/>
        <v>Abr</v>
      </c>
      <c r="H137" s="79">
        <f t="shared" si="6"/>
        <v>2055</v>
      </c>
      <c r="I137" s="80">
        <f t="shared" si="7"/>
        <v>209725</v>
      </c>
      <c r="J137" s="10"/>
      <c r="K137" s="17"/>
      <c r="L137" s="81"/>
      <c r="M137" s="17"/>
      <c r="N137" s="82">
        <f t="shared" si="9"/>
        <v>208839</v>
      </c>
      <c r="O137" s="17"/>
      <c r="P137" s="87">
        <f t="shared" si="8"/>
        <v>2092</v>
      </c>
      <c r="Q137" s="87">
        <f t="shared" si="10"/>
        <v>210931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5</v>
      </c>
      <c r="D138" s="75"/>
      <c r="E138" s="76">
        <f t="shared" si="4"/>
        <v>120</v>
      </c>
      <c r="F138" s="77">
        <f t="shared" si="12"/>
        <v>28</v>
      </c>
      <c r="G138" s="78" t="str">
        <f t="shared" si="2"/>
        <v>May</v>
      </c>
      <c r="H138" s="79">
        <f t="shared" si="6"/>
        <v>2055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209725</v>
      </c>
      <c r="O138" s="17"/>
      <c r="P138" s="87">
        <f t="shared" si="8"/>
        <v>1048</v>
      </c>
      <c r="Q138" s="87">
        <f t="shared" si="10"/>
        <v>210773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6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18999242</v>
      </c>
      <c r="O139" s="17"/>
      <c r="P139" s="83">
        <f t="shared" ref="P139:Q139" si="13">SUM(P19:P138)</f>
        <v>6312320</v>
      </c>
      <c r="Q139" s="83">
        <f t="shared" si="13"/>
        <v>25311562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7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8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9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10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11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12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1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2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3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4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5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6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7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8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9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10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11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12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1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2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3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4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5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6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7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8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9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10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39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1.1464842E7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11464842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11464842</v>
      </c>
      <c r="O15" s="17"/>
      <c r="P15" s="65">
        <f t="shared" ref="P15:Q15" si="1">P139</f>
        <v>3809078</v>
      </c>
      <c r="Q15" s="66">
        <f t="shared" si="1"/>
        <v>15273920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11464842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11394883</v>
      </c>
      <c r="J19" s="10"/>
      <c r="K19" s="17"/>
      <c r="L19" s="81"/>
      <c r="M19" s="17"/>
      <c r="N19" s="82">
        <f>ROUND(($Q$19-$P$19-$L$19),0)</f>
        <v>69959</v>
      </c>
      <c r="O19" s="17"/>
      <c r="P19" s="87">
        <f t="shared" ref="P19:P138" si="8">ROUNDDOWN((I18*$I$6),0)</f>
        <v>57324</v>
      </c>
      <c r="Q19" s="87">
        <f>ROUND((-PMT($I$6,$I$7,$I$5,0,0)+L19),0)</f>
        <v>127283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11324574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70309</v>
      </c>
      <c r="O20" s="17"/>
      <c r="P20" s="87">
        <f t="shared" si="8"/>
        <v>56974</v>
      </c>
      <c r="Q20" s="87">
        <f t="shared" ref="Q20:Q138" si="10">SUM(L20:P20)</f>
        <v>127283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11253913</v>
      </c>
      <c r="J21" s="10"/>
      <c r="K21" s="17"/>
      <c r="L21" s="81"/>
      <c r="M21" s="17"/>
      <c r="N21" s="82">
        <f t="shared" si="9"/>
        <v>70661</v>
      </c>
      <c r="O21" s="17"/>
      <c r="P21" s="87">
        <f t="shared" si="8"/>
        <v>56622</v>
      </c>
      <c r="Q21" s="87">
        <f t="shared" si="10"/>
        <v>127283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11182899</v>
      </c>
      <c r="J22" s="10"/>
      <c r="K22" s="17"/>
      <c r="L22" s="81"/>
      <c r="M22" s="17"/>
      <c r="N22" s="82">
        <f t="shared" si="9"/>
        <v>71014</v>
      </c>
      <c r="O22" s="17"/>
      <c r="P22" s="87">
        <f t="shared" si="8"/>
        <v>56269</v>
      </c>
      <c r="Q22" s="87">
        <f t="shared" si="10"/>
        <v>127283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11111530</v>
      </c>
      <c r="J23" s="10"/>
      <c r="K23" s="17"/>
      <c r="L23" s="81"/>
      <c r="M23" s="17"/>
      <c r="N23" s="82">
        <f t="shared" si="9"/>
        <v>71369</v>
      </c>
      <c r="O23" s="17"/>
      <c r="P23" s="87">
        <f t="shared" si="8"/>
        <v>55914</v>
      </c>
      <c r="Q23" s="87">
        <f t="shared" si="10"/>
        <v>127283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11039804</v>
      </c>
      <c r="J24" s="10"/>
      <c r="K24" s="17"/>
      <c r="L24" s="81"/>
      <c r="M24" s="17"/>
      <c r="N24" s="82">
        <f t="shared" si="9"/>
        <v>71726</v>
      </c>
      <c r="O24" s="17"/>
      <c r="P24" s="87">
        <f t="shared" si="8"/>
        <v>55557</v>
      </c>
      <c r="Q24" s="87">
        <f t="shared" si="10"/>
        <v>127283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10967720</v>
      </c>
      <c r="J25" s="10"/>
      <c r="K25" s="17"/>
      <c r="L25" s="81"/>
      <c r="M25" s="17"/>
      <c r="N25" s="82">
        <f t="shared" si="9"/>
        <v>72084</v>
      </c>
      <c r="O25" s="17"/>
      <c r="P25" s="87">
        <f t="shared" si="8"/>
        <v>55199</v>
      </c>
      <c r="Q25" s="87">
        <f t="shared" si="10"/>
        <v>127283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10895275</v>
      </c>
      <c r="J26" s="10"/>
      <c r="K26" s="17"/>
      <c r="L26" s="81"/>
      <c r="M26" s="17"/>
      <c r="N26" s="82">
        <f t="shared" si="9"/>
        <v>72445</v>
      </c>
      <c r="O26" s="17"/>
      <c r="P26" s="87">
        <f t="shared" si="8"/>
        <v>54838</v>
      </c>
      <c r="Q26" s="87">
        <f t="shared" si="10"/>
        <v>127283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10822468</v>
      </c>
      <c r="J27" s="10"/>
      <c r="K27" s="17"/>
      <c r="L27" s="81"/>
      <c r="M27" s="17"/>
      <c r="N27" s="82">
        <f t="shared" si="9"/>
        <v>72807</v>
      </c>
      <c r="O27" s="17"/>
      <c r="P27" s="87">
        <f t="shared" si="8"/>
        <v>54476</v>
      </c>
      <c r="Q27" s="87">
        <f t="shared" si="10"/>
        <v>127283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10749297</v>
      </c>
      <c r="J28" s="10"/>
      <c r="K28" s="17"/>
      <c r="L28" s="81"/>
      <c r="M28" s="17"/>
      <c r="N28" s="82">
        <f t="shared" si="9"/>
        <v>73171</v>
      </c>
      <c r="O28" s="17"/>
      <c r="P28" s="87">
        <f t="shared" si="8"/>
        <v>54112</v>
      </c>
      <c r="Q28" s="87">
        <f t="shared" si="10"/>
        <v>127283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10675760</v>
      </c>
      <c r="J29" s="10"/>
      <c r="K29" s="17"/>
      <c r="L29" s="81"/>
      <c r="M29" s="17"/>
      <c r="N29" s="82">
        <f t="shared" si="9"/>
        <v>73537</v>
      </c>
      <c r="O29" s="17"/>
      <c r="P29" s="87">
        <f t="shared" si="8"/>
        <v>53746</v>
      </c>
      <c r="Q29" s="87">
        <f t="shared" si="10"/>
        <v>127283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10601855</v>
      </c>
      <c r="J30" s="10"/>
      <c r="K30" s="17"/>
      <c r="L30" s="81"/>
      <c r="M30" s="17"/>
      <c r="N30" s="82">
        <f t="shared" si="9"/>
        <v>73905</v>
      </c>
      <c r="O30" s="17"/>
      <c r="P30" s="87">
        <f t="shared" si="8"/>
        <v>53378</v>
      </c>
      <c r="Q30" s="87">
        <f t="shared" si="10"/>
        <v>127283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10527581</v>
      </c>
      <c r="J31" s="10"/>
      <c r="K31" s="17"/>
      <c r="L31" s="81"/>
      <c r="M31" s="17"/>
      <c r="N31" s="82">
        <f t="shared" si="9"/>
        <v>74274</v>
      </c>
      <c r="O31" s="17"/>
      <c r="P31" s="87">
        <f t="shared" si="8"/>
        <v>53009</v>
      </c>
      <c r="Q31" s="87">
        <f t="shared" si="10"/>
        <v>127283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10452935</v>
      </c>
      <c r="J32" s="10"/>
      <c r="K32" s="17"/>
      <c r="L32" s="81"/>
      <c r="M32" s="17"/>
      <c r="N32" s="82">
        <f t="shared" si="9"/>
        <v>74646</v>
      </c>
      <c r="O32" s="17"/>
      <c r="P32" s="87">
        <f t="shared" si="8"/>
        <v>52637</v>
      </c>
      <c r="Q32" s="87">
        <f t="shared" si="10"/>
        <v>127283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10377916</v>
      </c>
      <c r="J33" s="10"/>
      <c r="K33" s="17"/>
      <c r="L33" s="81"/>
      <c r="M33" s="17"/>
      <c r="N33" s="82">
        <f t="shared" si="9"/>
        <v>75019</v>
      </c>
      <c r="O33" s="17"/>
      <c r="P33" s="87">
        <f t="shared" si="8"/>
        <v>52264</v>
      </c>
      <c r="Q33" s="87">
        <f t="shared" si="10"/>
        <v>127283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10302522</v>
      </c>
      <c r="J34" s="10"/>
      <c r="K34" s="17"/>
      <c r="L34" s="81"/>
      <c r="M34" s="17"/>
      <c r="N34" s="82">
        <f t="shared" si="9"/>
        <v>75394</v>
      </c>
      <c r="O34" s="17"/>
      <c r="P34" s="87">
        <f t="shared" si="8"/>
        <v>51889</v>
      </c>
      <c r="Q34" s="87">
        <f t="shared" si="10"/>
        <v>127283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10226751</v>
      </c>
      <c r="J35" s="10"/>
      <c r="K35" s="17"/>
      <c r="L35" s="81"/>
      <c r="M35" s="17"/>
      <c r="N35" s="82">
        <f t="shared" si="9"/>
        <v>75771</v>
      </c>
      <c r="O35" s="17"/>
      <c r="P35" s="87">
        <f t="shared" si="8"/>
        <v>51512</v>
      </c>
      <c r="Q35" s="87">
        <f t="shared" si="10"/>
        <v>127283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10150601</v>
      </c>
      <c r="J36" s="10"/>
      <c r="K36" s="17"/>
      <c r="L36" s="81"/>
      <c r="M36" s="17"/>
      <c r="N36" s="82">
        <f t="shared" si="9"/>
        <v>76150</v>
      </c>
      <c r="O36" s="17"/>
      <c r="P36" s="87">
        <f t="shared" si="8"/>
        <v>51133</v>
      </c>
      <c r="Q36" s="87">
        <f t="shared" si="10"/>
        <v>127283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10074071</v>
      </c>
      <c r="J37" s="10"/>
      <c r="K37" s="17"/>
      <c r="L37" s="81"/>
      <c r="M37" s="17"/>
      <c r="N37" s="82">
        <f t="shared" si="9"/>
        <v>76530</v>
      </c>
      <c r="O37" s="17"/>
      <c r="P37" s="87">
        <f t="shared" si="8"/>
        <v>50753</v>
      </c>
      <c r="Q37" s="87">
        <f t="shared" si="10"/>
        <v>127283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9997158</v>
      </c>
      <c r="J38" s="10"/>
      <c r="K38" s="17"/>
      <c r="L38" s="81"/>
      <c r="M38" s="17"/>
      <c r="N38" s="82">
        <f t="shared" si="9"/>
        <v>76913</v>
      </c>
      <c r="O38" s="17"/>
      <c r="P38" s="87">
        <f t="shared" si="8"/>
        <v>50370</v>
      </c>
      <c r="Q38" s="87">
        <f t="shared" si="10"/>
        <v>127283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9919860</v>
      </c>
      <c r="J39" s="10"/>
      <c r="K39" s="17"/>
      <c r="L39" s="81"/>
      <c r="M39" s="17"/>
      <c r="N39" s="82">
        <f t="shared" si="9"/>
        <v>77298</v>
      </c>
      <c r="O39" s="17"/>
      <c r="P39" s="87">
        <f t="shared" si="8"/>
        <v>49985</v>
      </c>
      <c r="Q39" s="87">
        <f t="shared" si="10"/>
        <v>127283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9842176</v>
      </c>
      <c r="J40" s="10"/>
      <c r="K40" s="17"/>
      <c r="L40" s="81"/>
      <c r="M40" s="17"/>
      <c r="N40" s="82">
        <f t="shared" si="9"/>
        <v>77684</v>
      </c>
      <c r="O40" s="17"/>
      <c r="P40" s="87">
        <f t="shared" si="8"/>
        <v>49599</v>
      </c>
      <c r="Q40" s="87">
        <f t="shared" si="10"/>
        <v>127283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9764103</v>
      </c>
      <c r="J41" s="10"/>
      <c r="K41" s="17"/>
      <c r="L41" s="81"/>
      <c r="M41" s="17"/>
      <c r="N41" s="82">
        <f t="shared" si="9"/>
        <v>78073</v>
      </c>
      <c r="O41" s="17"/>
      <c r="P41" s="87">
        <f t="shared" si="8"/>
        <v>49210</v>
      </c>
      <c r="Q41" s="87">
        <f t="shared" si="10"/>
        <v>127283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9685640</v>
      </c>
      <c r="J42" s="10"/>
      <c r="K42" s="17"/>
      <c r="L42" s="81"/>
      <c r="M42" s="17"/>
      <c r="N42" s="82">
        <f t="shared" si="9"/>
        <v>78463</v>
      </c>
      <c r="O42" s="17"/>
      <c r="P42" s="87">
        <f t="shared" si="8"/>
        <v>48820</v>
      </c>
      <c r="Q42" s="87">
        <f t="shared" si="10"/>
        <v>127283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9606785</v>
      </c>
      <c r="J43" s="10"/>
      <c r="K43" s="17"/>
      <c r="L43" s="81"/>
      <c r="M43" s="17"/>
      <c r="N43" s="82">
        <f t="shared" si="9"/>
        <v>78855</v>
      </c>
      <c r="O43" s="17"/>
      <c r="P43" s="87">
        <f t="shared" si="8"/>
        <v>48428</v>
      </c>
      <c r="Q43" s="87">
        <f t="shared" si="10"/>
        <v>127283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9527535</v>
      </c>
      <c r="J44" s="10"/>
      <c r="K44" s="17"/>
      <c r="L44" s="81"/>
      <c r="M44" s="17"/>
      <c r="N44" s="82">
        <f t="shared" si="9"/>
        <v>79250</v>
      </c>
      <c r="O44" s="17"/>
      <c r="P44" s="87">
        <f t="shared" si="8"/>
        <v>48033</v>
      </c>
      <c r="Q44" s="87">
        <f t="shared" si="10"/>
        <v>127283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9447889</v>
      </c>
      <c r="J45" s="10"/>
      <c r="K45" s="17"/>
      <c r="L45" s="81"/>
      <c r="M45" s="17"/>
      <c r="N45" s="82">
        <f t="shared" si="9"/>
        <v>79646</v>
      </c>
      <c r="O45" s="17"/>
      <c r="P45" s="87">
        <f t="shared" si="8"/>
        <v>47637</v>
      </c>
      <c r="Q45" s="87">
        <f t="shared" si="10"/>
        <v>127283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9367845</v>
      </c>
      <c r="J46" s="10"/>
      <c r="K46" s="17"/>
      <c r="L46" s="81"/>
      <c r="M46" s="17"/>
      <c r="N46" s="82">
        <f t="shared" si="9"/>
        <v>80044</v>
      </c>
      <c r="O46" s="17"/>
      <c r="P46" s="87">
        <f t="shared" si="8"/>
        <v>47239</v>
      </c>
      <c r="Q46" s="87">
        <f t="shared" si="10"/>
        <v>127283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9287401</v>
      </c>
      <c r="J47" s="10"/>
      <c r="K47" s="17"/>
      <c r="L47" s="81"/>
      <c r="M47" s="17"/>
      <c r="N47" s="82">
        <f t="shared" si="9"/>
        <v>80444</v>
      </c>
      <c r="O47" s="17"/>
      <c r="P47" s="87">
        <f t="shared" si="8"/>
        <v>46839</v>
      </c>
      <c r="Q47" s="87">
        <f t="shared" si="10"/>
        <v>127283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9206555</v>
      </c>
      <c r="J48" s="10"/>
      <c r="K48" s="17"/>
      <c r="L48" s="81"/>
      <c r="M48" s="17"/>
      <c r="N48" s="82">
        <f t="shared" si="9"/>
        <v>80846</v>
      </c>
      <c r="O48" s="17"/>
      <c r="P48" s="87">
        <f t="shared" si="8"/>
        <v>46437</v>
      </c>
      <c r="Q48" s="87">
        <f t="shared" si="10"/>
        <v>127283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9125304</v>
      </c>
      <c r="J49" s="10"/>
      <c r="K49" s="17"/>
      <c r="L49" s="81"/>
      <c r="M49" s="17"/>
      <c r="N49" s="82">
        <f t="shared" si="9"/>
        <v>81251</v>
      </c>
      <c r="O49" s="17"/>
      <c r="P49" s="87">
        <f t="shared" si="8"/>
        <v>46032</v>
      </c>
      <c r="Q49" s="87">
        <f t="shared" si="10"/>
        <v>127283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9043647</v>
      </c>
      <c r="J50" s="10"/>
      <c r="K50" s="17"/>
      <c r="L50" s="81"/>
      <c r="M50" s="17"/>
      <c r="N50" s="82">
        <f t="shared" si="9"/>
        <v>81657</v>
      </c>
      <c r="O50" s="17"/>
      <c r="P50" s="87">
        <f t="shared" si="8"/>
        <v>45626</v>
      </c>
      <c r="Q50" s="87">
        <f t="shared" si="10"/>
        <v>127283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8961582</v>
      </c>
      <c r="J51" s="10"/>
      <c r="K51" s="17"/>
      <c r="L51" s="81"/>
      <c r="M51" s="17"/>
      <c r="N51" s="82">
        <f t="shared" si="9"/>
        <v>82065</v>
      </c>
      <c r="O51" s="17"/>
      <c r="P51" s="87">
        <f t="shared" si="8"/>
        <v>45218</v>
      </c>
      <c r="Q51" s="87">
        <f t="shared" si="10"/>
        <v>127283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8879106</v>
      </c>
      <c r="J52" s="10"/>
      <c r="K52" s="17"/>
      <c r="L52" s="81"/>
      <c r="M52" s="17"/>
      <c r="N52" s="82">
        <f t="shared" si="9"/>
        <v>82476</v>
      </c>
      <c r="O52" s="17"/>
      <c r="P52" s="87">
        <f t="shared" si="8"/>
        <v>44807</v>
      </c>
      <c r="Q52" s="87">
        <f t="shared" si="10"/>
        <v>127283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8796218</v>
      </c>
      <c r="J53" s="10"/>
      <c r="K53" s="17"/>
      <c r="L53" s="81"/>
      <c r="M53" s="17"/>
      <c r="N53" s="82">
        <f t="shared" si="9"/>
        <v>82888</v>
      </c>
      <c r="O53" s="17"/>
      <c r="P53" s="87">
        <f t="shared" si="8"/>
        <v>44395</v>
      </c>
      <c r="Q53" s="87">
        <f t="shared" si="10"/>
        <v>127283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8712916</v>
      </c>
      <c r="J54" s="10"/>
      <c r="K54" s="17"/>
      <c r="L54" s="81"/>
      <c r="M54" s="17"/>
      <c r="N54" s="82">
        <f t="shared" si="9"/>
        <v>83302</v>
      </c>
      <c r="O54" s="17"/>
      <c r="P54" s="87">
        <f t="shared" si="8"/>
        <v>43981</v>
      </c>
      <c r="Q54" s="87">
        <f t="shared" si="10"/>
        <v>127283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8629197</v>
      </c>
      <c r="J55" s="10"/>
      <c r="K55" s="17"/>
      <c r="L55" s="81"/>
      <c r="M55" s="17"/>
      <c r="N55" s="82">
        <f t="shared" si="9"/>
        <v>83719</v>
      </c>
      <c r="O55" s="17"/>
      <c r="P55" s="87">
        <f t="shared" si="8"/>
        <v>43564</v>
      </c>
      <c r="Q55" s="87">
        <f t="shared" si="10"/>
        <v>127283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8545059</v>
      </c>
      <c r="J56" s="10"/>
      <c r="K56" s="17"/>
      <c r="L56" s="81"/>
      <c r="M56" s="17"/>
      <c r="N56" s="82">
        <f t="shared" si="9"/>
        <v>84138</v>
      </c>
      <c r="O56" s="17"/>
      <c r="P56" s="87">
        <f t="shared" si="8"/>
        <v>43145</v>
      </c>
      <c r="Q56" s="87">
        <f t="shared" si="10"/>
        <v>127283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8460501</v>
      </c>
      <c r="J57" s="10"/>
      <c r="K57" s="17"/>
      <c r="L57" s="81"/>
      <c r="M57" s="17"/>
      <c r="N57" s="82">
        <f t="shared" si="9"/>
        <v>84558</v>
      </c>
      <c r="O57" s="17"/>
      <c r="P57" s="87">
        <f t="shared" si="8"/>
        <v>42725</v>
      </c>
      <c r="Q57" s="87">
        <f t="shared" si="10"/>
        <v>127283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8375520</v>
      </c>
      <c r="J58" s="10"/>
      <c r="K58" s="17"/>
      <c r="L58" s="81"/>
      <c r="M58" s="17"/>
      <c r="N58" s="82">
        <f t="shared" si="9"/>
        <v>84981</v>
      </c>
      <c r="O58" s="17"/>
      <c r="P58" s="87">
        <f t="shared" si="8"/>
        <v>42302</v>
      </c>
      <c r="Q58" s="87">
        <f t="shared" si="10"/>
        <v>127283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8290114</v>
      </c>
      <c r="J59" s="10"/>
      <c r="K59" s="17"/>
      <c r="L59" s="81"/>
      <c r="M59" s="17"/>
      <c r="N59" s="82">
        <f t="shared" si="9"/>
        <v>85406</v>
      </c>
      <c r="O59" s="17"/>
      <c r="P59" s="87">
        <f t="shared" si="8"/>
        <v>41877</v>
      </c>
      <c r="Q59" s="87">
        <f t="shared" si="10"/>
        <v>127283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8204281</v>
      </c>
      <c r="J60" s="10"/>
      <c r="K60" s="17"/>
      <c r="L60" s="81"/>
      <c r="M60" s="17"/>
      <c r="N60" s="82">
        <f t="shared" si="9"/>
        <v>85833</v>
      </c>
      <c r="O60" s="17"/>
      <c r="P60" s="87">
        <f t="shared" si="8"/>
        <v>41450</v>
      </c>
      <c r="Q60" s="87">
        <f t="shared" si="10"/>
        <v>127283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8118019</v>
      </c>
      <c r="J61" s="10"/>
      <c r="K61" s="17"/>
      <c r="L61" s="81"/>
      <c r="M61" s="17"/>
      <c r="N61" s="82">
        <f t="shared" si="9"/>
        <v>86262</v>
      </c>
      <c r="O61" s="17"/>
      <c r="P61" s="87">
        <f t="shared" si="8"/>
        <v>41021</v>
      </c>
      <c r="Q61" s="87">
        <f t="shared" si="10"/>
        <v>127283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8031326</v>
      </c>
      <c r="J62" s="10"/>
      <c r="K62" s="17"/>
      <c r="L62" s="81"/>
      <c r="M62" s="17"/>
      <c r="N62" s="82">
        <f t="shared" si="9"/>
        <v>86693</v>
      </c>
      <c r="O62" s="17"/>
      <c r="P62" s="87">
        <f t="shared" si="8"/>
        <v>40590</v>
      </c>
      <c r="Q62" s="87">
        <f t="shared" si="10"/>
        <v>127283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7944199</v>
      </c>
      <c r="J63" s="10"/>
      <c r="K63" s="17"/>
      <c r="L63" s="81"/>
      <c r="M63" s="17"/>
      <c r="N63" s="82">
        <f t="shared" si="9"/>
        <v>87127</v>
      </c>
      <c r="O63" s="17"/>
      <c r="P63" s="87">
        <f t="shared" si="8"/>
        <v>40156</v>
      </c>
      <c r="Q63" s="87">
        <f t="shared" si="10"/>
        <v>127283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7856636</v>
      </c>
      <c r="J64" s="10"/>
      <c r="K64" s="17"/>
      <c r="L64" s="81"/>
      <c r="M64" s="17"/>
      <c r="N64" s="82">
        <f t="shared" si="9"/>
        <v>87563</v>
      </c>
      <c r="O64" s="17"/>
      <c r="P64" s="87">
        <f t="shared" si="8"/>
        <v>39720</v>
      </c>
      <c r="Q64" s="87">
        <f t="shared" si="10"/>
        <v>127283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7768636</v>
      </c>
      <c r="J65" s="10"/>
      <c r="K65" s="17"/>
      <c r="L65" s="81"/>
      <c r="M65" s="17"/>
      <c r="N65" s="82">
        <f t="shared" si="9"/>
        <v>88000</v>
      </c>
      <c r="O65" s="17"/>
      <c r="P65" s="87">
        <f t="shared" si="8"/>
        <v>39283</v>
      </c>
      <c r="Q65" s="87">
        <f t="shared" si="10"/>
        <v>127283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7680196</v>
      </c>
      <c r="J66" s="10"/>
      <c r="K66" s="17"/>
      <c r="L66" s="81"/>
      <c r="M66" s="17"/>
      <c r="N66" s="82">
        <f t="shared" si="9"/>
        <v>88440</v>
      </c>
      <c r="O66" s="17"/>
      <c r="P66" s="87">
        <f t="shared" si="8"/>
        <v>38843</v>
      </c>
      <c r="Q66" s="87">
        <f t="shared" si="10"/>
        <v>127283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7591313</v>
      </c>
      <c r="J67" s="10"/>
      <c r="K67" s="17"/>
      <c r="L67" s="81"/>
      <c r="M67" s="17"/>
      <c r="N67" s="82">
        <f t="shared" si="9"/>
        <v>88883</v>
      </c>
      <c r="O67" s="17"/>
      <c r="P67" s="87">
        <f t="shared" si="8"/>
        <v>38400</v>
      </c>
      <c r="Q67" s="87">
        <f t="shared" si="10"/>
        <v>127283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7501986</v>
      </c>
      <c r="J68" s="10"/>
      <c r="K68" s="17"/>
      <c r="L68" s="81"/>
      <c r="M68" s="17"/>
      <c r="N68" s="82">
        <f t="shared" si="9"/>
        <v>89327</v>
      </c>
      <c r="O68" s="17"/>
      <c r="P68" s="87">
        <f t="shared" si="8"/>
        <v>37956</v>
      </c>
      <c r="Q68" s="87">
        <f t="shared" si="10"/>
        <v>127283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7412212</v>
      </c>
      <c r="J69" s="10"/>
      <c r="K69" s="17"/>
      <c r="L69" s="81"/>
      <c r="M69" s="17"/>
      <c r="N69" s="82">
        <f t="shared" si="9"/>
        <v>89774</v>
      </c>
      <c r="O69" s="17"/>
      <c r="P69" s="87">
        <f t="shared" si="8"/>
        <v>37509</v>
      </c>
      <c r="Q69" s="87">
        <f t="shared" si="10"/>
        <v>127283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7321990</v>
      </c>
      <c r="J70" s="10"/>
      <c r="K70" s="17"/>
      <c r="L70" s="90"/>
      <c r="M70" s="91"/>
      <c r="N70" s="82">
        <f t="shared" si="9"/>
        <v>90222</v>
      </c>
      <c r="O70" s="17"/>
      <c r="P70" s="87">
        <f t="shared" si="8"/>
        <v>37061</v>
      </c>
      <c r="Q70" s="87">
        <f t="shared" si="10"/>
        <v>127283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7231316</v>
      </c>
      <c r="J71" s="10"/>
      <c r="K71" s="17"/>
      <c r="L71" s="90"/>
      <c r="M71" s="91"/>
      <c r="N71" s="82">
        <f t="shared" si="9"/>
        <v>90674</v>
      </c>
      <c r="O71" s="17"/>
      <c r="P71" s="87">
        <f t="shared" si="8"/>
        <v>36609</v>
      </c>
      <c r="Q71" s="87">
        <f t="shared" si="10"/>
        <v>127283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7140189</v>
      </c>
      <c r="J72" s="10"/>
      <c r="K72" s="17"/>
      <c r="L72" s="90"/>
      <c r="M72" s="91"/>
      <c r="N72" s="82">
        <f t="shared" si="9"/>
        <v>91127</v>
      </c>
      <c r="O72" s="17"/>
      <c r="P72" s="87">
        <f t="shared" si="8"/>
        <v>36156</v>
      </c>
      <c r="Q72" s="87">
        <f t="shared" si="10"/>
        <v>127283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7048606</v>
      </c>
      <c r="J73" s="10"/>
      <c r="K73" s="17"/>
      <c r="L73" s="90"/>
      <c r="M73" s="91"/>
      <c r="N73" s="82">
        <f t="shared" si="9"/>
        <v>91583</v>
      </c>
      <c r="O73" s="17"/>
      <c r="P73" s="87">
        <f t="shared" si="8"/>
        <v>35700</v>
      </c>
      <c r="Q73" s="87">
        <f t="shared" si="10"/>
        <v>127283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6956566</v>
      </c>
      <c r="J74" s="10"/>
      <c r="K74" s="17"/>
      <c r="L74" s="90"/>
      <c r="M74" s="91"/>
      <c r="N74" s="82">
        <f t="shared" si="9"/>
        <v>92040</v>
      </c>
      <c r="O74" s="17"/>
      <c r="P74" s="87">
        <f t="shared" si="8"/>
        <v>35243</v>
      </c>
      <c r="Q74" s="87">
        <f t="shared" si="10"/>
        <v>127283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6864065</v>
      </c>
      <c r="J75" s="10"/>
      <c r="K75" s="17"/>
      <c r="L75" s="90"/>
      <c r="M75" s="91"/>
      <c r="N75" s="82">
        <f t="shared" si="9"/>
        <v>92501</v>
      </c>
      <c r="O75" s="17"/>
      <c r="P75" s="87">
        <f t="shared" si="8"/>
        <v>34782</v>
      </c>
      <c r="Q75" s="87">
        <f t="shared" si="10"/>
        <v>127283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6771102</v>
      </c>
      <c r="J76" s="10"/>
      <c r="K76" s="17"/>
      <c r="L76" s="90"/>
      <c r="M76" s="91"/>
      <c r="N76" s="82">
        <f t="shared" si="9"/>
        <v>92963</v>
      </c>
      <c r="O76" s="17"/>
      <c r="P76" s="87">
        <f t="shared" si="8"/>
        <v>34320</v>
      </c>
      <c r="Q76" s="87">
        <f t="shared" si="10"/>
        <v>127283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6677674</v>
      </c>
      <c r="J77" s="10"/>
      <c r="K77" s="17"/>
      <c r="L77" s="90"/>
      <c r="M77" s="91"/>
      <c r="N77" s="82">
        <f t="shared" si="9"/>
        <v>93428</v>
      </c>
      <c r="O77" s="17"/>
      <c r="P77" s="87">
        <f t="shared" si="8"/>
        <v>33855</v>
      </c>
      <c r="Q77" s="87">
        <f t="shared" si="10"/>
        <v>127283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6583779</v>
      </c>
      <c r="J78" s="10"/>
      <c r="K78" s="17"/>
      <c r="L78" s="81"/>
      <c r="M78" s="17"/>
      <c r="N78" s="82">
        <f t="shared" si="9"/>
        <v>93895</v>
      </c>
      <c r="O78" s="17"/>
      <c r="P78" s="87">
        <f t="shared" si="8"/>
        <v>33388</v>
      </c>
      <c r="Q78" s="87">
        <f t="shared" si="10"/>
        <v>127283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6489414</v>
      </c>
      <c r="J79" s="10"/>
      <c r="K79" s="17"/>
      <c r="L79" s="81"/>
      <c r="M79" s="17"/>
      <c r="N79" s="82">
        <f t="shared" si="9"/>
        <v>94365</v>
      </c>
      <c r="O79" s="17"/>
      <c r="P79" s="87">
        <f t="shared" si="8"/>
        <v>32918</v>
      </c>
      <c r="Q79" s="87">
        <f t="shared" si="10"/>
        <v>127283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6394578</v>
      </c>
      <c r="J80" s="10"/>
      <c r="K80" s="17"/>
      <c r="L80" s="81"/>
      <c r="M80" s="17"/>
      <c r="N80" s="82">
        <f t="shared" si="9"/>
        <v>94836</v>
      </c>
      <c r="O80" s="17"/>
      <c r="P80" s="87">
        <f t="shared" si="8"/>
        <v>32447</v>
      </c>
      <c r="Q80" s="87">
        <f t="shared" si="10"/>
        <v>127283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6299267</v>
      </c>
      <c r="J81" s="10"/>
      <c r="K81" s="17"/>
      <c r="L81" s="81"/>
      <c r="M81" s="17"/>
      <c r="N81" s="82">
        <f t="shared" si="9"/>
        <v>95311</v>
      </c>
      <c r="O81" s="17"/>
      <c r="P81" s="87">
        <f t="shared" si="8"/>
        <v>31972</v>
      </c>
      <c r="Q81" s="87">
        <f t="shared" si="10"/>
        <v>127283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6203480</v>
      </c>
      <c r="J82" s="10"/>
      <c r="K82" s="17"/>
      <c r="L82" s="81"/>
      <c r="M82" s="17"/>
      <c r="N82" s="82">
        <f t="shared" si="9"/>
        <v>95787</v>
      </c>
      <c r="O82" s="17"/>
      <c r="P82" s="87">
        <f t="shared" si="8"/>
        <v>31496</v>
      </c>
      <c r="Q82" s="87">
        <f t="shared" si="10"/>
        <v>127283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6107214</v>
      </c>
      <c r="J83" s="10"/>
      <c r="K83" s="17"/>
      <c r="L83" s="81"/>
      <c r="M83" s="17"/>
      <c r="N83" s="82">
        <f t="shared" si="9"/>
        <v>96266</v>
      </c>
      <c r="O83" s="17"/>
      <c r="P83" s="87">
        <f t="shared" si="8"/>
        <v>31017</v>
      </c>
      <c r="Q83" s="87">
        <f t="shared" si="10"/>
        <v>127283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6010467</v>
      </c>
      <c r="J84" s="10"/>
      <c r="K84" s="17"/>
      <c r="L84" s="81"/>
      <c r="M84" s="17"/>
      <c r="N84" s="82">
        <f t="shared" si="9"/>
        <v>96747</v>
      </c>
      <c r="O84" s="17"/>
      <c r="P84" s="87">
        <f t="shared" si="8"/>
        <v>30536</v>
      </c>
      <c r="Q84" s="87">
        <f t="shared" si="10"/>
        <v>127283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5913236</v>
      </c>
      <c r="J85" s="10"/>
      <c r="K85" s="17"/>
      <c r="L85" s="81"/>
      <c r="M85" s="17"/>
      <c r="N85" s="82">
        <f t="shared" si="9"/>
        <v>97231</v>
      </c>
      <c r="O85" s="17"/>
      <c r="P85" s="87">
        <f t="shared" si="8"/>
        <v>30052</v>
      </c>
      <c r="Q85" s="87">
        <f t="shared" si="10"/>
        <v>127283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5815519</v>
      </c>
      <c r="J86" s="10"/>
      <c r="K86" s="17"/>
      <c r="L86" s="81"/>
      <c r="M86" s="17"/>
      <c r="N86" s="82">
        <f t="shared" si="9"/>
        <v>97717</v>
      </c>
      <c r="O86" s="17"/>
      <c r="P86" s="87">
        <f t="shared" si="8"/>
        <v>29566</v>
      </c>
      <c r="Q86" s="87">
        <f t="shared" si="10"/>
        <v>127283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5717313</v>
      </c>
      <c r="J87" s="10"/>
      <c r="K87" s="17"/>
      <c r="L87" s="81"/>
      <c r="M87" s="17"/>
      <c r="N87" s="82">
        <f t="shared" si="9"/>
        <v>98206</v>
      </c>
      <c r="O87" s="17"/>
      <c r="P87" s="87">
        <f t="shared" si="8"/>
        <v>29077</v>
      </c>
      <c r="Q87" s="87">
        <f t="shared" si="10"/>
        <v>127283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5618616</v>
      </c>
      <c r="J88" s="10"/>
      <c r="K88" s="17"/>
      <c r="L88" s="81"/>
      <c r="M88" s="17"/>
      <c r="N88" s="82">
        <f t="shared" si="9"/>
        <v>98697</v>
      </c>
      <c r="O88" s="17"/>
      <c r="P88" s="87">
        <f t="shared" si="8"/>
        <v>28586</v>
      </c>
      <c r="Q88" s="87">
        <f t="shared" si="10"/>
        <v>127283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5519426</v>
      </c>
      <c r="J89" s="10"/>
      <c r="K89" s="17"/>
      <c r="L89" s="81"/>
      <c r="M89" s="17"/>
      <c r="N89" s="82">
        <f t="shared" si="9"/>
        <v>99190</v>
      </c>
      <c r="O89" s="17"/>
      <c r="P89" s="87">
        <f t="shared" si="8"/>
        <v>28093</v>
      </c>
      <c r="Q89" s="87">
        <f t="shared" si="10"/>
        <v>127283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5419740</v>
      </c>
      <c r="J90" s="10"/>
      <c r="K90" s="17"/>
      <c r="L90" s="81"/>
      <c r="M90" s="17"/>
      <c r="N90" s="82">
        <f t="shared" si="9"/>
        <v>99686</v>
      </c>
      <c r="O90" s="17"/>
      <c r="P90" s="87">
        <f t="shared" si="8"/>
        <v>27597</v>
      </c>
      <c r="Q90" s="87">
        <f t="shared" si="10"/>
        <v>127283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5319555</v>
      </c>
      <c r="J91" s="10"/>
      <c r="K91" s="17"/>
      <c r="L91" s="81"/>
      <c r="M91" s="17"/>
      <c r="N91" s="82">
        <f t="shared" si="9"/>
        <v>100185</v>
      </c>
      <c r="O91" s="17"/>
      <c r="P91" s="87">
        <f t="shared" si="8"/>
        <v>27098</v>
      </c>
      <c r="Q91" s="87">
        <f t="shared" si="10"/>
        <v>127283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5218869</v>
      </c>
      <c r="J92" s="10"/>
      <c r="K92" s="17"/>
      <c r="L92" s="81"/>
      <c r="M92" s="17"/>
      <c r="N92" s="82">
        <f t="shared" si="9"/>
        <v>100686</v>
      </c>
      <c r="O92" s="17"/>
      <c r="P92" s="87">
        <f t="shared" si="8"/>
        <v>26597</v>
      </c>
      <c r="Q92" s="87">
        <f t="shared" si="10"/>
        <v>127283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5117680</v>
      </c>
      <c r="J93" s="10"/>
      <c r="K93" s="17"/>
      <c r="L93" s="81"/>
      <c r="M93" s="17"/>
      <c r="N93" s="82">
        <f t="shared" si="9"/>
        <v>101189</v>
      </c>
      <c r="O93" s="17"/>
      <c r="P93" s="87">
        <f t="shared" si="8"/>
        <v>26094</v>
      </c>
      <c r="Q93" s="87">
        <f t="shared" si="10"/>
        <v>127283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5015985</v>
      </c>
      <c r="J94" s="10"/>
      <c r="K94" s="17"/>
      <c r="L94" s="81"/>
      <c r="M94" s="17"/>
      <c r="N94" s="82">
        <f t="shared" si="9"/>
        <v>101695</v>
      </c>
      <c r="O94" s="17"/>
      <c r="P94" s="87">
        <f t="shared" si="8"/>
        <v>25588</v>
      </c>
      <c r="Q94" s="87">
        <f t="shared" si="10"/>
        <v>127283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4913781</v>
      </c>
      <c r="J95" s="10"/>
      <c r="K95" s="17"/>
      <c r="L95" s="81"/>
      <c r="M95" s="17"/>
      <c r="N95" s="82">
        <f t="shared" si="9"/>
        <v>102204</v>
      </c>
      <c r="O95" s="17"/>
      <c r="P95" s="87">
        <f t="shared" si="8"/>
        <v>25079</v>
      </c>
      <c r="Q95" s="87">
        <f t="shared" si="10"/>
        <v>127283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4811066</v>
      </c>
      <c r="J96" s="10"/>
      <c r="K96" s="17"/>
      <c r="L96" s="81"/>
      <c r="M96" s="17"/>
      <c r="N96" s="82">
        <f t="shared" si="9"/>
        <v>102715</v>
      </c>
      <c r="O96" s="17"/>
      <c r="P96" s="87">
        <f t="shared" si="8"/>
        <v>24568</v>
      </c>
      <c r="Q96" s="87">
        <f t="shared" si="10"/>
        <v>127283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4707838</v>
      </c>
      <c r="J97" s="10"/>
      <c r="K97" s="17"/>
      <c r="L97" s="81"/>
      <c r="M97" s="17"/>
      <c r="N97" s="82">
        <f t="shared" si="9"/>
        <v>103228</v>
      </c>
      <c r="O97" s="17"/>
      <c r="P97" s="87">
        <f t="shared" si="8"/>
        <v>24055</v>
      </c>
      <c r="Q97" s="87">
        <f t="shared" si="10"/>
        <v>127283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4604094</v>
      </c>
      <c r="J98" s="10"/>
      <c r="K98" s="17"/>
      <c r="L98" s="81"/>
      <c r="M98" s="17"/>
      <c r="N98" s="82">
        <f t="shared" si="9"/>
        <v>103744</v>
      </c>
      <c r="O98" s="17"/>
      <c r="P98" s="87">
        <f t="shared" si="8"/>
        <v>23539</v>
      </c>
      <c r="Q98" s="87">
        <f t="shared" si="10"/>
        <v>127283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4499831</v>
      </c>
      <c r="J99" s="10"/>
      <c r="K99" s="17"/>
      <c r="L99" s="81"/>
      <c r="M99" s="17"/>
      <c r="N99" s="82">
        <f t="shared" si="9"/>
        <v>104263</v>
      </c>
      <c r="O99" s="17"/>
      <c r="P99" s="87">
        <f t="shared" si="8"/>
        <v>23020</v>
      </c>
      <c r="Q99" s="87">
        <f t="shared" si="10"/>
        <v>127283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4395047</v>
      </c>
      <c r="J100" s="10"/>
      <c r="K100" s="17"/>
      <c r="L100" s="81"/>
      <c r="M100" s="17"/>
      <c r="N100" s="82">
        <f t="shared" si="9"/>
        <v>104784</v>
      </c>
      <c r="O100" s="17"/>
      <c r="P100" s="87">
        <f t="shared" si="8"/>
        <v>22499</v>
      </c>
      <c r="Q100" s="87">
        <f t="shared" si="10"/>
        <v>127283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4289739</v>
      </c>
      <c r="J101" s="10"/>
      <c r="K101" s="17"/>
      <c r="L101" s="81"/>
      <c r="M101" s="17"/>
      <c r="N101" s="82">
        <f t="shared" si="9"/>
        <v>105308</v>
      </c>
      <c r="O101" s="17"/>
      <c r="P101" s="87">
        <f t="shared" si="8"/>
        <v>21975</v>
      </c>
      <c r="Q101" s="87">
        <f t="shared" si="10"/>
        <v>127283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4183904</v>
      </c>
      <c r="J102" s="10"/>
      <c r="K102" s="17"/>
      <c r="L102" s="81"/>
      <c r="M102" s="17"/>
      <c r="N102" s="82">
        <f t="shared" si="9"/>
        <v>105835</v>
      </c>
      <c r="O102" s="17"/>
      <c r="P102" s="87">
        <f t="shared" si="8"/>
        <v>21448</v>
      </c>
      <c r="Q102" s="87">
        <f t="shared" si="10"/>
        <v>127283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4077540</v>
      </c>
      <c r="J103" s="10"/>
      <c r="K103" s="17"/>
      <c r="L103" s="81"/>
      <c r="M103" s="17"/>
      <c r="N103" s="82">
        <f t="shared" si="9"/>
        <v>106364</v>
      </c>
      <c r="O103" s="17"/>
      <c r="P103" s="87">
        <f t="shared" si="8"/>
        <v>20919</v>
      </c>
      <c r="Q103" s="87">
        <f t="shared" si="10"/>
        <v>127283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3970644</v>
      </c>
      <c r="J104" s="10"/>
      <c r="K104" s="17"/>
      <c r="L104" s="81"/>
      <c r="M104" s="17"/>
      <c r="N104" s="82">
        <f t="shared" si="9"/>
        <v>106896</v>
      </c>
      <c r="O104" s="17"/>
      <c r="P104" s="87">
        <f t="shared" si="8"/>
        <v>20387</v>
      </c>
      <c r="Q104" s="87">
        <f t="shared" si="10"/>
        <v>127283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3863214</v>
      </c>
      <c r="J105" s="10"/>
      <c r="K105" s="17"/>
      <c r="L105" s="81"/>
      <c r="M105" s="17"/>
      <c r="N105" s="82">
        <f t="shared" si="9"/>
        <v>107430</v>
      </c>
      <c r="O105" s="17"/>
      <c r="P105" s="87">
        <f t="shared" si="8"/>
        <v>19853</v>
      </c>
      <c r="Q105" s="87">
        <f t="shared" si="10"/>
        <v>127283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3755247</v>
      </c>
      <c r="J106" s="10"/>
      <c r="K106" s="17"/>
      <c r="L106" s="81"/>
      <c r="M106" s="17"/>
      <c r="N106" s="82">
        <f t="shared" si="9"/>
        <v>107967</v>
      </c>
      <c r="O106" s="17"/>
      <c r="P106" s="87">
        <f t="shared" si="8"/>
        <v>19316</v>
      </c>
      <c r="Q106" s="87">
        <f t="shared" si="10"/>
        <v>127283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3646740</v>
      </c>
      <c r="J107" s="10"/>
      <c r="K107" s="17"/>
      <c r="L107" s="81"/>
      <c r="M107" s="17"/>
      <c r="N107" s="82">
        <f t="shared" si="9"/>
        <v>108507</v>
      </c>
      <c r="O107" s="17"/>
      <c r="P107" s="87">
        <f t="shared" si="8"/>
        <v>18776</v>
      </c>
      <c r="Q107" s="87">
        <f t="shared" si="10"/>
        <v>127283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3537690</v>
      </c>
      <c r="J108" s="10"/>
      <c r="K108" s="17"/>
      <c r="L108" s="81"/>
      <c r="M108" s="17"/>
      <c r="N108" s="82">
        <f t="shared" si="9"/>
        <v>109050</v>
      </c>
      <c r="O108" s="17"/>
      <c r="P108" s="87">
        <f t="shared" si="8"/>
        <v>18233</v>
      </c>
      <c r="Q108" s="87">
        <f t="shared" si="10"/>
        <v>127283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3428095</v>
      </c>
      <c r="J109" s="10"/>
      <c r="K109" s="17"/>
      <c r="L109" s="81"/>
      <c r="M109" s="17"/>
      <c r="N109" s="82">
        <f t="shared" si="9"/>
        <v>109595</v>
      </c>
      <c r="O109" s="17"/>
      <c r="P109" s="87">
        <f t="shared" si="8"/>
        <v>17688</v>
      </c>
      <c r="Q109" s="87">
        <f t="shared" si="10"/>
        <v>127283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3317952</v>
      </c>
      <c r="J110" s="10"/>
      <c r="K110" s="17"/>
      <c r="L110" s="81"/>
      <c r="M110" s="17"/>
      <c r="N110" s="82">
        <f t="shared" si="9"/>
        <v>110143</v>
      </c>
      <c r="O110" s="17"/>
      <c r="P110" s="87">
        <f t="shared" si="8"/>
        <v>17140</v>
      </c>
      <c r="Q110" s="87">
        <f t="shared" si="10"/>
        <v>127283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3207258</v>
      </c>
      <c r="J111" s="10"/>
      <c r="K111" s="17"/>
      <c r="L111" s="81"/>
      <c r="M111" s="17"/>
      <c r="N111" s="82">
        <f t="shared" si="9"/>
        <v>110694</v>
      </c>
      <c r="O111" s="17"/>
      <c r="P111" s="87">
        <f t="shared" si="8"/>
        <v>16589</v>
      </c>
      <c r="Q111" s="87">
        <f t="shared" si="10"/>
        <v>127283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3096011</v>
      </c>
      <c r="J112" s="10"/>
      <c r="K112" s="17"/>
      <c r="L112" s="81"/>
      <c r="M112" s="17"/>
      <c r="N112" s="82">
        <f t="shared" si="9"/>
        <v>111247</v>
      </c>
      <c r="O112" s="17"/>
      <c r="P112" s="87">
        <f t="shared" si="8"/>
        <v>16036</v>
      </c>
      <c r="Q112" s="87">
        <f t="shared" si="10"/>
        <v>127283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2984208</v>
      </c>
      <c r="J113" s="10"/>
      <c r="K113" s="17"/>
      <c r="L113" s="81"/>
      <c r="M113" s="17"/>
      <c r="N113" s="82">
        <f t="shared" si="9"/>
        <v>111803</v>
      </c>
      <c r="O113" s="17"/>
      <c r="P113" s="87">
        <f t="shared" si="8"/>
        <v>15480</v>
      </c>
      <c r="Q113" s="87">
        <f t="shared" si="10"/>
        <v>127283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2871846</v>
      </c>
      <c r="J114" s="10"/>
      <c r="K114" s="17"/>
      <c r="L114" s="81"/>
      <c r="M114" s="17"/>
      <c r="N114" s="82">
        <f t="shared" si="9"/>
        <v>112362</v>
      </c>
      <c r="O114" s="17"/>
      <c r="P114" s="87">
        <f t="shared" si="8"/>
        <v>14921</v>
      </c>
      <c r="Q114" s="87">
        <f t="shared" si="10"/>
        <v>127283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2758922</v>
      </c>
      <c r="J115" s="10"/>
      <c r="K115" s="17"/>
      <c r="L115" s="81"/>
      <c r="M115" s="17"/>
      <c r="N115" s="82">
        <f t="shared" si="9"/>
        <v>112924</v>
      </c>
      <c r="O115" s="17"/>
      <c r="P115" s="87">
        <f t="shared" si="8"/>
        <v>14359</v>
      </c>
      <c r="Q115" s="87">
        <f t="shared" si="10"/>
        <v>127283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2645433</v>
      </c>
      <c r="J116" s="10"/>
      <c r="K116" s="17"/>
      <c r="L116" s="81"/>
      <c r="M116" s="17"/>
      <c r="N116" s="82">
        <f t="shared" si="9"/>
        <v>113489</v>
      </c>
      <c r="O116" s="17"/>
      <c r="P116" s="87">
        <f t="shared" si="8"/>
        <v>13794</v>
      </c>
      <c r="Q116" s="87">
        <f t="shared" si="10"/>
        <v>127283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2531377</v>
      </c>
      <c r="J117" s="10"/>
      <c r="K117" s="17"/>
      <c r="L117" s="81"/>
      <c r="M117" s="17"/>
      <c r="N117" s="82">
        <f t="shared" si="9"/>
        <v>114056</v>
      </c>
      <c r="O117" s="17"/>
      <c r="P117" s="87">
        <f t="shared" si="8"/>
        <v>13227</v>
      </c>
      <c r="Q117" s="87">
        <f t="shared" si="10"/>
        <v>127283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2416750</v>
      </c>
      <c r="J118" s="10"/>
      <c r="K118" s="17"/>
      <c r="L118" s="81"/>
      <c r="M118" s="17"/>
      <c r="N118" s="82">
        <f t="shared" si="9"/>
        <v>114627</v>
      </c>
      <c r="O118" s="17"/>
      <c r="P118" s="87">
        <f t="shared" si="8"/>
        <v>12656</v>
      </c>
      <c r="Q118" s="87">
        <f t="shared" si="10"/>
        <v>127283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2301550</v>
      </c>
      <c r="J119" s="10"/>
      <c r="K119" s="17"/>
      <c r="L119" s="81"/>
      <c r="M119" s="17"/>
      <c r="N119" s="82">
        <f t="shared" si="9"/>
        <v>115200</v>
      </c>
      <c r="O119" s="17"/>
      <c r="P119" s="87">
        <f t="shared" si="8"/>
        <v>12083</v>
      </c>
      <c r="Q119" s="87">
        <f t="shared" si="10"/>
        <v>127283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2185774</v>
      </c>
      <c r="J120" s="10"/>
      <c r="K120" s="17"/>
      <c r="L120" s="81"/>
      <c r="M120" s="17"/>
      <c r="N120" s="82">
        <f t="shared" si="9"/>
        <v>115776</v>
      </c>
      <c r="O120" s="17"/>
      <c r="P120" s="87">
        <f t="shared" si="8"/>
        <v>11507</v>
      </c>
      <c r="Q120" s="87">
        <f t="shared" si="10"/>
        <v>127283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2069419</v>
      </c>
      <c r="J121" s="10"/>
      <c r="K121" s="17"/>
      <c r="L121" s="81"/>
      <c r="M121" s="17"/>
      <c r="N121" s="82">
        <f t="shared" si="9"/>
        <v>116355</v>
      </c>
      <c r="O121" s="17"/>
      <c r="P121" s="87">
        <f t="shared" si="8"/>
        <v>10928</v>
      </c>
      <c r="Q121" s="87">
        <f t="shared" si="10"/>
        <v>127283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1952483</v>
      </c>
      <c r="J122" s="10"/>
      <c r="K122" s="17"/>
      <c r="L122" s="81"/>
      <c r="M122" s="17"/>
      <c r="N122" s="82">
        <f t="shared" si="9"/>
        <v>116936</v>
      </c>
      <c r="O122" s="17"/>
      <c r="P122" s="87">
        <f t="shared" si="8"/>
        <v>10347</v>
      </c>
      <c r="Q122" s="87">
        <f t="shared" si="10"/>
        <v>127283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1834962</v>
      </c>
      <c r="J123" s="10"/>
      <c r="K123" s="17"/>
      <c r="L123" s="81"/>
      <c r="M123" s="17"/>
      <c r="N123" s="82">
        <f t="shared" si="9"/>
        <v>117521</v>
      </c>
      <c r="O123" s="17"/>
      <c r="P123" s="87">
        <f t="shared" si="8"/>
        <v>9762</v>
      </c>
      <c r="Q123" s="87">
        <f t="shared" si="10"/>
        <v>127283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1716853</v>
      </c>
      <c r="J124" s="10"/>
      <c r="K124" s="17"/>
      <c r="L124" s="81"/>
      <c r="M124" s="17"/>
      <c r="N124" s="82">
        <f t="shared" si="9"/>
        <v>118109</v>
      </c>
      <c r="O124" s="17"/>
      <c r="P124" s="87">
        <f t="shared" si="8"/>
        <v>9174</v>
      </c>
      <c r="Q124" s="87">
        <f t="shared" si="10"/>
        <v>127283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1598154</v>
      </c>
      <c r="J125" s="10"/>
      <c r="K125" s="17"/>
      <c r="L125" s="81"/>
      <c r="M125" s="17"/>
      <c r="N125" s="82">
        <f t="shared" si="9"/>
        <v>118699</v>
      </c>
      <c r="O125" s="17"/>
      <c r="P125" s="87">
        <f t="shared" si="8"/>
        <v>8584</v>
      </c>
      <c r="Q125" s="87">
        <f t="shared" si="10"/>
        <v>127283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1478861</v>
      </c>
      <c r="J126" s="10"/>
      <c r="K126" s="17"/>
      <c r="L126" s="81"/>
      <c r="M126" s="17"/>
      <c r="N126" s="82">
        <f t="shared" si="9"/>
        <v>119293</v>
      </c>
      <c r="O126" s="17"/>
      <c r="P126" s="87">
        <f t="shared" si="8"/>
        <v>7990</v>
      </c>
      <c r="Q126" s="87">
        <f t="shared" si="10"/>
        <v>127283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1358972</v>
      </c>
      <c r="J127" s="10"/>
      <c r="K127" s="17"/>
      <c r="L127" s="81"/>
      <c r="M127" s="17"/>
      <c r="N127" s="82">
        <f t="shared" si="9"/>
        <v>119889</v>
      </c>
      <c r="O127" s="17"/>
      <c r="P127" s="87">
        <f t="shared" si="8"/>
        <v>7394</v>
      </c>
      <c r="Q127" s="87">
        <f t="shared" si="10"/>
        <v>127283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1238483</v>
      </c>
      <c r="J128" s="10"/>
      <c r="K128" s="17"/>
      <c r="L128" s="81"/>
      <c r="M128" s="17"/>
      <c r="N128" s="82">
        <f t="shared" si="9"/>
        <v>120489</v>
      </c>
      <c r="O128" s="17"/>
      <c r="P128" s="87">
        <f t="shared" si="8"/>
        <v>6794</v>
      </c>
      <c r="Q128" s="87">
        <f t="shared" si="10"/>
        <v>127283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1117392</v>
      </c>
      <c r="J129" s="10"/>
      <c r="K129" s="17"/>
      <c r="L129" s="81"/>
      <c r="M129" s="17"/>
      <c r="N129" s="82">
        <f t="shared" si="9"/>
        <v>121091</v>
      </c>
      <c r="O129" s="17"/>
      <c r="P129" s="87">
        <f t="shared" si="8"/>
        <v>6192</v>
      </c>
      <c r="Q129" s="87">
        <f t="shared" si="10"/>
        <v>127283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995695</v>
      </c>
      <c r="J130" s="10"/>
      <c r="K130" s="17"/>
      <c r="L130" s="81"/>
      <c r="M130" s="17"/>
      <c r="N130" s="82">
        <f t="shared" si="9"/>
        <v>121697</v>
      </c>
      <c r="O130" s="17"/>
      <c r="P130" s="87">
        <f t="shared" si="8"/>
        <v>5586</v>
      </c>
      <c r="Q130" s="87">
        <f t="shared" si="10"/>
        <v>127283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873390</v>
      </c>
      <c r="J131" s="10"/>
      <c r="K131" s="17"/>
      <c r="L131" s="81"/>
      <c r="M131" s="17"/>
      <c r="N131" s="82">
        <f t="shared" si="9"/>
        <v>122305</v>
      </c>
      <c r="O131" s="17"/>
      <c r="P131" s="87">
        <f t="shared" si="8"/>
        <v>4978</v>
      </c>
      <c r="Q131" s="87">
        <f t="shared" si="10"/>
        <v>127283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750473</v>
      </c>
      <c r="J132" s="10"/>
      <c r="K132" s="17"/>
      <c r="L132" s="81"/>
      <c r="M132" s="17"/>
      <c r="N132" s="82">
        <f t="shared" si="9"/>
        <v>122917</v>
      </c>
      <c r="O132" s="17"/>
      <c r="P132" s="87">
        <f t="shared" si="8"/>
        <v>4366</v>
      </c>
      <c r="Q132" s="87">
        <f t="shared" si="10"/>
        <v>127283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626942</v>
      </c>
      <c r="J133" s="10"/>
      <c r="K133" s="17"/>
      <c r="L133" s="81"/>
      <c r="M133" s="17"/>
      <c r="N133" s="82">
        <f t="shared" si="9"/>
        <v>123531</v>
      </c>
      <c r="O133" s="17"/>
      <c r="P133" s="87">
        <f t="shared" si="8"/>
        <v>3752</v>
      </c>
      <c r="Q133" s="87">
        <f t="shared" si="10"/>
        <v>127283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502793</v>
      </c>
      <c r="J134" s="10"/>
      <c r="K134" s="17"/>
      <c r="L134" s="81"/>
      <c r="M134" s="17"/>
      <c r="N134" s="82">
        <f t="shared" si="9"/>
        <v>124149</v>
      </c>
      <c r="O134" s="17"/>
      <c r="P134" s="87">
        <f t="shared" si="8"/>
        <v>3134</v>
      </c>
      <c r="Q134" s="87">
        <f t="shared" si="10"/>
        <v>127283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378023</v>
      </c>
      <c r="J135" s="10"/>
      <c r="K135" s="17"/>
      <c r="L135" s="81"/>
      <c r="M135" s="17"/>
      <c r="N135" s="82">
        <f t="shared" si="9"/>
        <v>124770</v>
      </c>
      <c r="O135" s="17"/>
      <c r="P135" s="87">
        <f t="shared" si="8"/>
        <v>2513</v>
      </c>
      <c r="Q135" s="87">
        <f t="shared" si="10"/>
        <v>127283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252630</v>
      </c>
      <c r="J136" s="10"/>
      <c r="K136" s="17"/>
      <c r="L136" s="81"/>
      <c r="M136" s="17"/>
      <c r="N136" s="82">
        <f t="shared" si="9"/>
        <v>125393</v>
      </c>
      <c r="O136" s="17"/>
      <c r="P136" s="87">
        <f t="shared" si="8"/>
        <v>1890</v>
      </c>
      <c r="Q136" s="87">
        <f t="shared" si="10"/>
        <v>127283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126610</v>
      </c>
      <c r="J137" s="10"/>
      <c r="K137" s="17"/>
      <c r="L137" s="81"/>
      <c r="M137" s="17"/>
      <c r="N137" s="82">
        <f t="shared" si="9"/>
        <v>126020</v>
      </c>
      <c r="O137" s="17"/>
      <c r="P137" s="87">
        <f t="shared" si="8"/>
        <v>1263</v>
      </c>
      <c r="Q137" s="87">
        <f t="shared" si="10"/>
        <v>127283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126610</v>
      </c>
      <c r="O138" s="17"/>
      <c r="P138" s="87">
        <f t="shared" si="8"/>
        <v>633</v>
      </c>
      <c r="Q138" s="87">
        <f t="shared" si="10"/>
        <v>127243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11464842</v>
      </c>
      <c r="O139" s="17"/>
      <c r="P139" s="83">
        <f t="shared" ref="P139:Q139" si="13">SUM(P19:P138)</f>
        <v>3809078</v>
      </c>
      <c r="Q139" s="83">
        <f t="shared" si="13"/>
        <v>15273920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3786000.0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3786000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L249</f>
        <v>0</v>
      </c>
      <c r="M15" s="17"/>
      <c r="N15" s="64">
        <f>N249</f>
        <v>3786000</v>
      </c>
      <c r="O15" s="17"/>
      <c r="P15" s="65">
        <f t="shared" ref="P15:Q15" si="1">P249</f>
        <v>1257822</v>
      </c>
      <c r="Q15" s="66">
        <f t="shared" si="1"/>
        <v>5043822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67" si="2">VLOOKUP(C18,$A$19:$B$30,2)</f>
        <v>Dic</v>
      </c>
      <c r="H18" s="79">
        <f>K8</f>
        <v>2025</v>
      </c>
      <c r="I18" s="80">
        <f>I5</f>
        <v>3786000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67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68" si="6">IF(C19&gt;C18,H18,H18+1)</f>
        <v>2026</v>
      </c>
      <c r="I19" s="80">
        <f t="shared" ref="I19:I248" si="7">IF((I18-N19-L19)&lt;0,"Excede pago",IF((I18-N19-L19)=0,"0",ROUNDDOWN((I18-N19-L19),0)))</f>
        <v>3762898</v>
      </c>
      <c r="J19" s="10"/>
      <c r="K19" s="17"/>
      <c r="L19" s="81"/>
      <c r="M19" s="17"/>
      <c r="N19" s="82">
        <f>ROUND(($Q$19-$P$19-$L$19),0)</f>
        <v>23102</v>
      </c>
      <c r="O19" s="17"/>
      <c r="P19" s="87">
        <f t="shared" ref="P19:P248" si="8">ROUNDDOWN((I18*$I$6),0)</f>
        <v>18930</v>
      </c>
      <c r="Q19" s="87">
        <f>ROUND((-PMT($I$6,$I$7,$I$5,0,0)+L19),0)</f>
        <v>42032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3739680</v>
      </c>
      <c r="J20" s="10"/>
      <c r="K20" s="17"/>
      <c r="L20" s="81"/>
      <c r="M20" s="17"/>
      <c r="N20" s="82">
        <f t="shared" ref="N20:N248" si="9">IF((($Q$19-$L$19-P20)&lt;=(I19-L20)),ROUND(($Q$19-$L$19-P20),0),ROUND(I19,0))</f>
        <v>23218</v>
      </c>
      <c r="O20" s="17"/>
      <c r="P20" s="87">
        <f t="shared" si="8"/>
        <v>18814</v>
      </c>
      <c r="Q20" s="87">
        <f t="shared" ref="Q20:Q248" si="10">SUM(L20:P20)</f>
        <v>42032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3716346</v>
      </c>
      <c r="J21" s="10"/>
      <c r="K21" s="17"/>
      <c r="L21" s="81"/>
      <c r="M21" s="17"/>
      <c r="N21" s="82">
        <f t="shared" si="9"/>
        <v>23334</v>
      </c>
      <c r="O21" s="17"/>
      <c r="P21" s="87">
        <f t="shared" si="8"/>
        <v>18698</v>
      </c>
      <c r="Q21" s="87">
        <f t="shared" si="10"/>
        <v>42032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3692895</v>
      </c>
      <c r="J22" s="10"/>
      <c r="K22" s="17"/>
      <c r="L22" s="81"/>
      <c r="M22" s="17"/>
      <c r="N22" s="82">
        <f t="shared" si="9"/>
        <v>23451</v>
      </c>
      <c r="O22" s="17"/>
      <c r="P22" s="87">
        <f t="shared" si="8"/>
        <v>18581</v>
      </c>
      <c r="Q22" s="87">
        <f t="shared" si="10"/>
        <v>42032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3669327</v>
      </c>
      <c r="J23" s="10"/>
      <c r="K23" s="17"/>
      <c r="L23" s="81"/>
      <c r="M23" s="17"/>
      <c r="N23" s="82">
        <f t="shared" si="9"/>
        <v>23568</v>
      </c>
      <c r="O23" s="17"/>
      <c r="P23" s="87">
        <f t="shared" si="8"/>
        <v>18464</v>
      </c>
      <c r="Q23" s="87">
        <f t="shared" si="10"/>
        <v>42032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3645641</v>
      </c>
      <c r="J24" s="10"/>
      <c r="K24" s="17"/>
      <c r="L24" s="81"/>
      <c r="M24" s="17"/>
      <c r="N24" s="82">
        <f t="shared" si="9"/>
        <v>23686</v>
      </c>
      <c r="O24" s="17"/>
      <c r="P24" s="87">
        <f t="shared" si="8"/>
        <v>18346</v>
      </c>
      <c r="Q24" s="87">
        <f t="shared" si="10"/>
        <v>42032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3621837</v>
      </c>
      <c r="J25" s="10"/>
      <c r="K25" s="17"/>
      <c r="L25" s="81"/>
      <c r="M25" s="17"/>
      <c r="N25" s="82">
        <f t="shared" si="9"/>
        <v>23804</v>
      </c>
      <c r="O25" s="17"/>
      <c r="P25" s="87">
        <f t="shared" si="8"/>
        <v>18228</v>
      </c>
      <c r="Q25" s="87">
        <f t="shared" si="10"/>
        <v>42032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3597914</v>
      </c>
      <c r="J26" s="10"/>
      <c r="K26" s="17"/>
      <c r="L26" s="81"/>
      <c r="M26" s="17"/>
      <c r="N26" s="82">
        <f t="shared" si="9"/>
        <v>23923</v>
      </c>
      <c r="O26" s="17"/>
      <c r="P26" s="87">
        <f t="shared" si="8"/>
        <v>18109</v>
      </c>
      <c r="Q26" s="87">
        <f t="shared" si="10"/>
        <v>42032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3573871</v>
      </c>
      <c r="J27" s="10"/>
      <c r="K27" s="17"/>
      <c r="L27" s="81"/>
      <c r="M27" s="17"/>
      <c r="N27" s="82">
        <f t="shared" si="9"/>
        <v>24043</v>
      </c>
      <c r="O27" s="17"/>
      <c r="P27" s="87">
        <f t="shared" si="8"/>
        <v>17989</v>
      </c>
      <c r="Q27" s="87">
        <f t="shared" si="10"/>
        <v>42032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3549708</v>
      </c>
      <c r="J28" s="10"/>
      <c r="K28" s="17"/>
      <c r="L28" s="81"/>
      <c r="M28" s="17"/>
      <c r="N28" s="82">
        <f t="shared" si="9"/>
        <v>24163</v>
      </c>
      <c r="O28" s="17"/>
      <c r="P28" s="87">
        <f t="shared" si="8"/>
        <v>17869</v>
      </c>
      <c r="Q28" s="87">
        <f t="shared" si="10"/>
        <v>42032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3525424</v>
      </c>
      <c r="J29" s="10"/>
      <c r="K29" s="17"/>
      <c r="L29" s="81"/>
      <c r="M29" s="17"/>
      <c r="N29" s="82">
        <f t="shared" si="9"/>
        <v>24284</v>
      </c>
      <c r="O29" s="17"/>
      <c r="P29" s="87">
        <f t="shared" si="8"/>
        <v>17748</v>
      </c>
      <c r="Q29" s="87">
        <f t="shared" si="10"/>
        <v>42032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3501019</v>
      </c>
      <c r="J30" s="10"/>
      <c r="K30" s="17"/>
      <c r="L30" s="81"/>
      <c r="M30" s="17"/>
      <c r="N30" s="82">
        <f t="shared" si="9"/>
        <v>24405</v>
      </c>
      <c r="O30" s="17"/>
      <c r="P30" s="87">
        <f t="shared" si="8"/>
        <v>17627</v>
      </c>
      <c r="Q30" s="87">
        <f t="shared" si="10"/>
        <v>42032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3476492</v>
      </c>
      <c r="J31" s="10"/>
      <c r="K31" s="17"/>
      <c r="L31" s="81"/>
      <c r="M31" s="17"/>
      <c r="N31" s="82">
        <f t="shared" si="9"/>
        <v>24527</v>
      </c>
      <c r="O31" s="17"/>
      <c r="P31" s="87">
        <f t="shared" si="8"/>
        <v>17505</v>
      </c>
      <c r="Q31" s="87">
        <f t="shared" si="10"/>
        <v>42032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3451842</v>
      </c>
      <c r="J32" s="10"/>
      <c r="K32" s="17"/>
      <c r="L32" s="81"/>
      <c r="M32" s="17"/>
      <c r="N32" s="82">
        <f t="shared" si="9"/>
        <v>24650</v>
      </c>
      <c r="O32" s="17"/>
      <c r="P32" s="87">
        <f t="shared" si="8"/>
        <v>17382</v>
      </c>
      <c r="Q32" s="87">
        <f t="shared" si="10"/>
        <v>42032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3427069</v>
      </c>
      <c r="J33" s="10"/>
      <c r="K33" s="17"/>
      <c r="L33" s="81"/>
      <c r="M33" s="17"/>
      <c r="N33" s="82">
        <f t="shared" si="9"/>
        <v>24773</v>
      </c>
      <c r="O33" s="17"/>
      <c r="P33" s="87">
        <f t="shared" si="8"/>
        <v>17259</v>
      </c>
      <c r="Q33" s="87">
        <f t="shared" si="10"/>
        <v>42032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3402172</v>
      </c>
      <c r="J34" s="10"/>
      <c r="K34" s="17"/>
      <c r="L34" s="81"/>
      <c r="M34" s="17"/>
      <c r="N34" s="82">
        <f t="shared" si="9"/>
        <v>24897</v>
      </c>
      <c r="O34" s="17"/>
      <c r="P34" s="87">
        <f t="shared" si="8"/>
        <v>17135</v>
      </c>
      <c r="Q34" s="87">
        <f t="shared" si="10"/>
        <v>42032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3377150</v>
      </c>
      <c r="J35" s="10"/>
      <c r="K35" s="17"/>
      <c r="L35" s="81"/>
      <c r="M35" s="17"/>
      <c r="N35" s="82">
        <f t="shared" si="9"/>
        <v>25022</v>
      </c>
      <c r="O35" s="17"/>
      <c r="P35" s="87">
        <f t="shared" si="8"/>
        <v>17010</v>
      </c>
      <c r="Q35" s="87">
        <f t="shared" si="10"/>
        <v>42032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3352003</v>
      </c>
      <c r="J36" s="10"/>
      <c r="K36" s="17"/>
      <c r="L36" s="81"/>
      <c r="M36" s="17"/>
      <c r="N36" s="82">
        <f t="shared" si="9"/>
        <v>25147</v>
      </c>
      <c r="O36" s="17"/>
      <c r="P36" s="87">
        <f t="shared" si="8"/>
        <v>16885</v>
      </c>
      <c r="Q36" s="87">
        <f t="shared" si="10"/>
        <v>42032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3326731</v>
      </c>
      <c r="J37" s="10"/>
      <c r="K37" s="17"/>
      <c r="L37" s="81"/>
      <c r="M37" s="17"/>
      <c r="N37" s="82">
        <f t="shared" si="9"/>
        <v>25272</v>
      </c>
      <c r="O37" s="17"/>
      <c r="P37" s="87">
        <f t="shared" si="8"/>
        <v>16760</v>
      </c>
      <c r="Q37" s="87">
        <f t="shared" si="10"/>
        <v>42032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3301332</v>
      </c>
      <c r="J38" s="10"/>
      <c r="K38" s="17"/>
      <c r="L38" s="81"/>
      <c r="M38" s="17"/>
      <c r="N38" s="82">
        <f t="shared" si="9"/>
        <v>25399</v>
      </c>
      <c r="O38" s="17"/>
      <c r="P38" s="87">
        <f t="shared" si="8"/>
        <v>16633</v>
      </c>
      <c r="Q38" s="87">
        <f t="shared" si="10"/>
        <v>42032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3275806</v>
      </c>
      <c r="J39" s="10"/>
      <c r="K39" s="17"/>
      <c r="L39" s="81"/>
      <c r="M39" s="17"/>
      <c r="N39" s="82">
        <f t="shared" si="9"/>
        <v>25526</v>
      </c>
      <c r="O39" s="17"/>
      <c r="P39" s="87">
        <f t="shared" si="8"/>
        <v>16506</v>
      </c>
      <c r="Q39" s="87">
        <f t="shared" si="10"/>
        <v>42032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3250153</v>
      </c>
      <c r="J40" s="10"/>
      <c r="K40" s="17"/>
      <c r="L40" s="81"/>
      <c r="M40" s="17"/>
      <c r="N40" s="82">
        <f t="shared" si="9"/>
        <v>25653</v>
      </c>
      <c r="O40" s="17"/>
      <c r="P40" s="87">
        <f t="shared" si="8"/>
        <v>16379</v>
      </c>
      <c r="Q40" s="87">
        <f t="shared" si="10"/>
        <v>42032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3224371</v>
      </c>
      <c r="J41" s="10"/>
      <c r="K41" s="17"/>
      <c r="L41" s="81"/>
      <c r="M41" s="17"/>
      <c r="N41" s="82">
        <f t="shared" si="9"/>
        <v>25782</v>
      </c>
      <c r="O41" s="17"/>
      <c r="P41" s="87">
        <f t="shared" si="8"/>
        <v>16250</v>
      </c>
      <c r="Q41" s="87">
        <f t="shared" si="10"/>
        <v>42032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3198460</v>
      </c>
      <c r="J42" s="10"/>
      <c r="K42" s="17"/>
      <c r="L42" s="81"/>
      <c r="M42" s="17"/>
      <c r="N42" s="82">
        <f t="shared" si="9"/>
        <v>25911</v>
      </c>
      <c r="O42" s="17"/>
      <c r="P42" s="87">
        <f t="shared" si="8"/>
        <v>16121</v>
      </c>
      <c r="Q42" s="87">
        <f t="shared" si="10"/>
        <v>42032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3172420</v>
      </c>
      <c r="J43" s="10"/>
      <c r="K43" s="17"/>
      <c r="L43" s="81"/>
      <c r="M43" s="17"/>
      <c r="N43" s="82">
        <f t="shared" si="9"/>
        <v>26040</v>
      </c>
      <c r="O43" s="17"/>
      <c r="P43" s="87">
        <f t="shared" si="8"/>
        <v>15992</v>
      </c>
      <c r="Q43" s="87">
        <f t="shared" si="10"/>
        <v>42032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3146250</v>
      </c>
      <c r="J44" s="10"/>
      <c r="K44" s="17"/>
      <c r="L44" s="81"/>
      <c r="M44" s="17"/>
      <c r="N44" s="82">
        <f t="shared" si="9"/>
        <v>26170</v>
      </c>
      <c r="O44" s="17"/>
      <c r="P44" s="87">
        <f t="shared" si="8"/>
        <v>15862</v>
      </c>
      <c r="Q44" s="87">
        <f t="shared" si="10"/>
        <v>42032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3119949</v>
      </c>
      <c r="J45" s="10"/>
      <c r="K45" s="17"/>
      <c r="L45" s="81"/>
      <c r="M45" s="17"/>
      <c r="N45" s="82">
        <f t="shared" si="9"/>
        <v>26301</v>
      </c>
      <c r="O45" s="17"/>
      <c r="P45" s="87">
        <f t="shared" si="8"/>
        <v>15731</v>
      </c>
      <c r="Q45" s="87">
        <f t="shared" si="10"/>
        <v>42032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3093516</v>
      </c>
      <c r="J46" s="10"/>
      <c r="K46" s="17"/>
      <c r="L46" s="81"/>
      <c r="M46" s="17"/>
      <c r="N46" s="82">
        <f t="shared" si="9"/>
        <v>26433</v>
      </c>
      <c r="O46" s="17"/>
      <c r="P46" s="87">
        <f t="shared" si="8"/>
        <v>15599</v>
      </c>
      <c r="Q46" s="87">
        <f t="shared" si="10"/>
        <v>42032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3066951</v>
      </c>
      <c r="J47" s="10"/>
      <c r="K47" s="17"/>
      <c r="L47" s="81"/>
      <c r="M47" s="17"/>
      <c r="N47" s="82">
        <f t="shared" si="9"/>
        <v>26565</v>
      </c>
      <c r="O47" s="17"/>
      <c r="P47" s="87">
        <f t="shared" si="8"/>
        <v>15467</v>
      </c>
      <c r="Q47" s="87">
        <f t="shared" si="10"/>
        <v>42032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3040253</v>
      </c>
      <c r="J48" s="10"/>
      <c r="K48" s="17"/>
      <c r="L48" s="81"/>
      <c r="M48" s="17"/>
      <c r="N48" s="82">
        <f t="shared" si="9"/>
        <v>26698</v>
      </c>
      <c r="O48" s="17"/>
      <c r="P48" s="87">
        <f t="shared" si="8"/>
        <v>15334</v>
      </c>
      <c r="Q48" s="87">
        <f t="shared" si="10"/>
        <v>42032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3013422</v>
      </c>
      <c r="J49" s="10"/>
      <c r="K49" s="17"/>
      <c r="L49" s="81"/>
      <c r="M49" s="17"/>
      <c r="N49" s="82">
        <f t="shared" si="9"/>
        <v>26831</v>
      </c>
      <c r="O49" s="17"/>
      <c r="P49" s="87">
        <f t="shared" si="8"/>
        <v>15201</v>
      </c>
      <c r="Q49" s="87">
        <f t="shared" si="10"/>
        <v>42032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2986457</v>
      </c>
      <c r="J50" s="10"/>
      <c r="K50" s="17"/>
      <c r="L50" s="81"/>
      <c r="M50" s="17"/>
      <c r="N50" s="82">
        <f t="shared" si="9"/>
        <v>26965</v>
      </c>
      <c r="O50" s="17"/>
      <c r="P50" s="87">
        <f t="shared" si="8"/>
        <v>15067</v>
      </c>
      <c r="Q50" s="87">
        <f t="shared" si="10"/>
        <v>42032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2959357</v>
      </c>
      <c r="J51" s="10"/>
      <c r="K51" s="17"/>
      <c r="L51" s="81"/>
      <c r="M51" s="17"/>
      <c r="N51" s="82">
        <f t="shared" si="9"/>
        <v>27100</v>
      </c>
      <c r="O51" s="17"/>
      <c r="P51" s="87">
        <f t="shared" si="8"/>
        <v>14932</v>
      </c>
      <c r="Q51" s="87">
        <f t="shared" si="10"/>
        <v>42032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2932121</v>
      </c>
      <c r="J52" s="10"/>
      <c r="K52" s="17"/>
      <c r="L52" s="81"/>
      <c r="M52" s="17"/>
      <c r="N52" s="82">
        <f t="shared" si="9"/>
        <v>27236</v>
      </c>
      <c r="O52" s="17"/>
      <c r="P52" s="87">
        <f t="shared" si="8"/>
        <v>14796</v>
      </c>
      <c r="Q52" s="87">
        <f t="shared" si="10"/>
        <v>42032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2904749</v>
      </c>
      <c r="J53" s="10"/>
      <c r="K53" s="17"/>
      <c r="L53" s="81"/>
      <c r="M53" s="17"/>
      <c r="N53" s="82">
        <f t="shared" si="9"/>
        <v>27372</v>
      </c>
      <c r="O53" s="17"/>
      <c r="P53" s="87">
        <f t="shared" si="8"/>
        <v>14660</v>
      </c>
      <c r="Q53" s="87">
        <f t="shared" si="10"/>
        <v>42032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2877240</v>
      </c>
      <c r="J54" s="10"/>
      <c r="K54" s="17"/>
      <c r="L54" s="81"/>
      <c r="M54" s="17"/>
      <c r="N54" s="82">
        <f t="shared" si="9"/>
        <v>27509</v>
      </c>
      <c r="O54" s="17"/>
      <c r="P54" s="87">
        <f t="shared" si="8"/>
        <v>14523</v>
      </c>
      <c r="Q54" s="87">
        <f t="shared" si="10"/>
        <v>42032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2849594</v>
      </c>
      <c r="J55" s="10"/>
      <c r="K55" s="17"/>
      <c r="L55" s="81"/>
      <c r="M55" s="17"/>
      <c r="N55" s="82">
        <f t="shared" si="9"/>
        <v>27646</v>
      </c>
      <c r="O55" s="17"/>
      <c r="P55" s="87">
        <f t="shared" si="8"/>
        <v>14386</v>
      </c>
      <c r="Q55" s="87">
        <f t="shared" si="10"/>
        <v>42032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2821809</v>
      </c>
      <c r="J56" s="10"/>
      <c r="K56" s="17"/>
      <c r="L56" s="81"/>
      <c r="M56" s="17"/>
      <c r="N56" s="82">
        <f t="shared" si="9"/>
        <v>27785</v>
      </c>
      <c r="O56" s="17"/>
      <c r="P56" s="87">
        <f t="shared" si="8"/>
        <v>14247</v>
      </c>
      <c r="Q56" s="87">
        <f t="shared" si="10"/>
        <v>42032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2793886</v>
      </c>
      <c r="J57" s="10"/>
      <c r="K57" s="17"/>
      <c r="L57" s="81"/>
      <c r="M57" s="17"/>
      <c r="N57" s="82">
        <f t="shared" si="9"/>
        <v>27923</v>
      </c>
      <c r="O57" s="17"/>
      <c r="P57" s="87">
        <f t="shared" si="8"/>
        <v>14109</v>
      </c>
      <c r="Q57" s="87">
        <f t="shared" si="10"/>
        <v>42032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2765823</v>
      </c>
      <c r="J58" s="10"/>
      <c r="K58" s="17"/>
      <c r="L58" s="81"/>
      <c r="M58" s="17"/>
      <c r="N58" s="82">
        <f t="shared" si="9"/>
        <v>28063</v>
      </c>
      <c r="O58" s="17"/>
      <c r="P58" s="87">
        <f t="shared" si="8"/>
        <v>13969</v>
      </c>
      <c r="Q58" s="87">
        <f t="shared" si="10"/>
        <v>42032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2737620</v>
      </c>
      <c r="J59" s="10"/>
      <c r="K59" s="17"/>
      <c r="L59" s="81"/>
      <c r="M59" s="17"/>
      <c r="N59" s="82">
        <f t="shared" si="9"/>
        <v>28203</v>
      </c>
      <c r="O59" s="17"/>
      <c r="P59" s="87">
        <f t="shared" si="8"/>
        <v>13829</v>
      </c>
      <c r="Q59" s="87">
        <f t="shared" si="10"/>
        <v>42032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2709276</v>
      </c>
      <c r="J60" s="10"/>
      <c r="K60" s="17"/>
      <c r="L60" s="81"/>
      <c r="M60" s="17"/>
      <c r="N60" s="82">
        <f t="shared" si="9"/>
        <v>28344</v>
      </c>
      <c r="O60" s="17"/>
      <c r="P60" s="87">
        <f t="shared" si="8"/>
        <v>13688</v>
      </c>
      <c r="Q60" s="87">
        <f t="shared" si="10"/>
        <v>42032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2680790</v>
      </c>
      <c r="J61" s="10"/>
      <c r="K61" s="17"/>
      <c r="L61" s="81"/>
      <c r="M61" s="17"/>
      <c r="N61" s="82">
        <f t="shared" si="9"/>
        <v>28486</v>
      </c>
      <c r="O61" s="17"/>
      <c r="P61" s="87">
        <f t="shared" si="8"/>
        <v>13546</v>
      </c>
      <c r="Q61" s="87">
        <f t="shared" si="10"/>
        <v>42032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2652161</v>
      </c>
      <c r="J62" s="10"/>
      <c r="K62" s="17"/>
      <c r="L62" s="81"/>
      <c r="M62" s="17"/>
      <c r="N62" s="82">
        <f t="shared" si="9"/>
        <v>28629</v>
      </c>
      <c r="O62" s="17"/>
      <c r="P62" s="87">
        <f t="shared" si="8"/>
        <v>13403</v>
      </c>
      <c r="Q62" s="87">
        <f t="shared" si="10"/>
        <v>42032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2623389</v>
      </c>
      <c r="J63" s="10"/>
      <c r="K63" s="17"/>
      <c r="L63" s="81"/>
      <c r="M63" s="17"/>
      <c r="N63" s="82">
        <f t="shared" si="9"/>
        <v>28772</v>
      </c>
      <c r="O63" s="17"/>
      <c r="P63" s="87">
        <f t="shared" si="8"/>
        <v>13260</v>
      </c>
      <c r="Q63" s="87">
        <f t="shared" si="10"/>
        <v>42032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2594473</v>
      </c>
      <c r="J64" s="10"/>
      <c r="K64" s="17"/>
      <c r="L64" s="81"/>
      <c r="M64" s="17"/>
      <c r="N64" s="82">
        <f t="shared" si="9"/>
        <v>28916</v>
      </c>
      <c r="O64" s="17"/>
      <c r="P64" s="87">
        <f t="shared" si="8"/>
        <v>13116</v>
      </c>
      <c r="Q64" s="87">
        <f t="shared" si="10"/>
        <v>42032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2565413</v>
      </c>
      <c r="J65" s="10"/>
      <c r="K65" s="17"/>
      <c r="L65" s="81"/>
      <c r="M65" s="17"/>
      <c r="N65" s="82">
        <f t="shared" si="9"/>
        <v>29060</v>
      </c>
      <c r="O65" s="17"/>
      <c r="P65" s="87">
        <f t="shared" si="8"/>
        <v>12972</v>
      </c>
      <c r="Q65" s="87">
        <f t="shared" si="10"/>
        <v>42032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2536208</v>
      </c>
      <c r="J66" s="10"/>
      <c r="K66" s="17"/>
      <c r="L66" s="81"/>
      <c r="M66" s="17"/>
      <c r="N66" s="82">
        <f t="shared" si="9"/>
        <v>29205</v>
      </c>
      <c r="O66" s="17"/>
      <c r="P66" s="87">
        <f t="shared" si="8"/>
        <v>12827</v>
      </c>
      <c r="Q66" s="87">
        <f t="shared" si="10"/>
        <v>42032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2506857</v>
      </c>
      <c r="J67" s="10"/>
      <c r="K67" s="17"/>
      <c r="L67" s="81"/>
      <c r="M67" s="17"/>
      <c r="N67" s="82">
        <f t="shared" si="9"/>
        <v>29351</v>
      </c>
      <c r="O67" s="17"/>
      <c r="P67" s="87">
        <f t="shared" si="8"/>
        <v>12681</v>
      </c>
      <c r="Q67" s="87">
        <f t="shared" si="10"/>
        <v>42032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2477359</v>
      </c>
      <c r="J68" s="10"/>
      <c r="K68" s="17"/>
      <c r="L68" s="81"/>
      <c r="M68" s="17"/>
      <c r="N68" s="82">
        <f t="shared" si="9"/>
        <v>29498</v>
      </c>
      <c r="O68" s="17"/>
      <c r="P68" s="87">
        <f t="shared" si="8"/>
        <v>12534</v>
      </c>
      <c r="Q68" s="87">
        <f t="shared" si="10"/>
        <v>42032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2447713</v>
      </c>
      <c r="J69" s="10"/>
      <c r="K69" s="17"/>
      <c r="L69" s="81"/>
      <c r="M69" s="17"/>
      <c r="N69" s="82">
        <f t="shared" si="9"/>
        <v>29646</v>
      </c>
      <c r="O69" s="17"/>
      <c r="P69" s="87">
        <f t="shared" si="8"/>
        <v>12386</v>
      </c>
      <c r="Q69" s="87">
        <f t="shared" si="10"/>
        <v>42032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2417919</v>
      </c>
      <c r="J70" s="10"/>
      <c r="K70" s="17"/>
      <c r="L70" s="90"/>
      <c r="M70" s="91"/>
      <c r="N70" s="82">
        <f t="shared" si="9"/>
        <v>29794</v>
      </c>
      <c r="O70" s="17"/>
      <c r="P70" s="87">
        <f t="shared" si="8"/>
        <v>12238</v>
      </c>
      <c r="Q70" s="87">
        <f t="shared" si="10"/>
        <v>42032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2387976</v>
      </c>
      <c r="J71" s="10"/>
      <c r="K71" s="17"/>
      <c r="L71" s="90"/>
      <c r="M71" s="91"/>
      <c r="N71" s="82">
        <f t="shared" si="9"/>
        <v>29943</v>
      </c>
      <c r="O71" s="17"/>
      <c r="P71" s="87">
        <f t="shared" si="8"/>
        <v>12089</v>
      </c>
      <c r="Q71" s="87">
        <f t="shared" si="10"/>
        <v>42032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2357883</v>
      </c>
      <c r="J72" s="10"/>
      <c r="K72" s="17"/>
      <c r="L72" s="90"/>
      <c r="M72" s="91"/>
      <c r="N72" s="82">
        <f t="shared" si="9"/>
        <v>30093</v>
      </c>
      <c r="O72" s="17"/>
      <c r="P72" s="87">
        <f t="shared" si="8"/>
        <v>11939</v>
      </c>
      <c r="Q72" s="87">
        <f t="shared" si="10"/>
        <v>42032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2327640</v>
      </c>
      <c r="J73" s="10"/>
      <c r="K73" s="17"/>
      <c r="L73" s="90"/>
      <c r="M73" s="91"/>
      <c r="N73" s="82">
        <f t="shared" si="9"/>
        <v>30243</v>
      </c>
      <c r="O73" s="17"/>
      <c r="P73" s="87">
        <f t="shared" si="8"/>
        <v>11789</v>
      </c>
      <c r="Q73" s="87">
        <f t="shared" si="10"/>
        <v>42032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2297246</v>
      </c>
      <c r="J74" s="10"/>
      <c r="K74" s="17"/>
      <c r="L74" s="90"/>
      <c r="M74" s="91"/>
      <c r="N74" s="82">
        <f t="shared" si="9"/>
        <v>30394</v>
      </c>
      <c r="O74" s="17"/>
      <c r="P74" s="87">
        <f t="shared" si="8"/>
        <v>11638</v>
      </c>
      <c r="Q74" s="87">
        <f t="shared" si="10"/>
        <v>42032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24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2266700</v>
      </c>
      <c r="J75" s="10"/>
      <c r="K75" s="17"/>
      <c r="L75" s="90"/>
      <c r="M75" s="91"/>
      <c r="N75" s="82">
        <f t="shared" si="9"/>
        <v>30546</v>
      </c>
      <c r="O75" s="17"/>
      <c r="P75" s="87">
        <f t="shared" si="8"/>
        <v>11486</v>
      </c>
      <c r="Q75" s="87">
        <f t="shared" si="10"/>
        <v>42032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2236001</v>
      </c>
      <c r="J76" s="10"/>
      <c r="K76" s="17"/>
      <c r="L76" s="90"/>
      <c r="M76" s="91"/>
      <c r="N76" s="82">
        <f t="shared" si="9"/>
        <v>30699</v>
      </c>
      <c r="O76" s="17"/>
      <c r="P76" s="87">
        <f t="shared" si="8"/>
        <v>11333</v>
      </c>
      <c r="Q76" s="87">
        <f t="shared" si="10"/>
        <v>42032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2205149</v>
      </c>
      <c r="J77" s="10"/>
      <c r="K77" s="17"/>
      <c r="L77" s="90"/>
      <c r="M77" s="91"/>
      <c r="N77" s="82">
        <f t="shared" si="9"/>
        <v>30852</v>
      </c>
      <c r="O77" s="17"/>
      <c r="P77" s="87">
        <f t="shared" si="8"/>
        <v>11180</v>
      </c>
      <c r="Q77" s="87">
        <f t="shared" si="10"/>
        <v>42032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2174142</v>
      </c>
      <c r="J78" s="10"/>
      <c r="K78" s="17"/>
      <c r="L78" s="81"/>
      <c r="M78" s="17"/>
      <c r="N78" s="82">
        <f t="shared" si="9"/>
        <v>31007</v>
      </c>
      <c r="O78" s="17"/>
      <c r="P78" s="87">
        <f t="shared" si="8"/>
        <v>11025</v>
      </c>
      <c r="Q78" s="87">
        <f t="shared" si="10"/>
        <v>42032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2142980</v>
      </c>
      <c r="J79" s="10"/>
      <c r="K79" s="17"/>
      <c r="L79" s="81"/>
      <c r="M79" s="17"/>
      <c r="N79" s="82">
        <f t="shared" si="9"/>
        <v>31162</v>
      </c>
      <c r="O79" s="17"/>
      <c r="P79" s="87">
        <f t="shared" si="8"/>
        <v>10870</v>
      </c>
      <c r="Q79" s="87">
        <f t="shared" si="10"/>
        <v>42032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2111662</v>
      </c>
      <c r="J80" s="10"/>
      <c r="K80" s="17"/>
      <c r="L80" s="81"/>
      <c r="M80" s="17"/>
      <c r="N80" s="82">
        <f t="shared" si="9"/>
        <v>31318</v>
      </c>
      <c r="O80" s="17"/>
      <c r="P80" s="87">
        <f t="shared" si="8"/>
        <v>10714</v>
      </c>
      <c r="Q80" s="87">
        <f t="shared" si="10"/>
        <v>42032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2080188</v>
      </c>
      <c r="J81" s="10"/>
      <c r="K81" s="17"/>
      <c r="L81" s="81"/>
      <c r="M81" s="17"/>
      <c r="N81" s="82">
        <f t="shared" si="9"/>
        <v>31474</v>
      </c>
      <c r="O81" s="17"/>
      <c r="P81" s="87">
        <f t="shared" si="8"/>
        <v>10558</v>
      </c>
      <c r="Q81" s="87">
        <f t="shared" si="10"/>
        <v>42032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2048556</v>
      </c>
      <c r="J82" s="10"/>
      <c r="K82" s="17"/>
      <c r="L82" s="81"/>
      <c r="M82" s="17"/>
      <c r="N82" s="82">
        <f t="shared" si="9"/>
        <v>31632</v>
      </c>
      <c r="O82" s="17"/>
      <c r="P82" s="87">
        <f t="shared" si="8"/>
        <v>10400</v>
      </c>
      <c r="Q82" s="87">
        <f t="shared" si="10"/>
        <v>42032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2016766</v>
      </c>
      <c r="J83" s="10"/>
      <c r="K83" s="17"/>
      <c r="L83" s="81"/>
      <c r="M83" s="17"/>
      <c r="N83" s="82">
        <f t="shared" si="9"/>
        <v>31790</v>
      </c>
      <c r="O83" s="17"/>
      <c r="P83" s="87">
        <f t="shared" si="8"/>
        <v>10242</v>
      </c>
      <c r="Q83" s="87">
        <f t="shared" si="10"/>
        <v>42032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1984817</v>
      </c>
      <c r="J84" s="10"/>
      <c r="K84" s="17"/>
      <c r="L84" s="81"/>
      <c r="M84" s="17"/>
      <c r="N84" s="82">
        <f t="shared" si="9"/>
        <v>31949</v>
      </c>
      <c r="O84" s="17"/>
      <c r="P84" s="87">
        <f t="shared" si="8"/>
        <v>10083</v>
      </c>
      <c r="Q84" s="87">
        <f t="shared" si="10"/>
        <v>42032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1952709</v>
      </c>
      <c r="J85" s="10"/>
      <c r="K85" s="17"/>
      <c r="L85" s="81"/>
      <c r="M85" s="17"/>
      <c r="N85" s="82">
        <f t="shared" si="9"/>
        <v>32108</v>
      </c>
      <c r="O85" s="17"/>
      <c r="P85" s="87">
        <f t="shared" si="8"/>
        <v>9924</v>
      </c>
      <c r="Q85" s="87">
        <f t="shared" si="10"/>
        <v>42032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1920440</v>
      </c>
      <c r="J86" s="10"/>
      <c r="K86" s="17"/>
      <c r="L86" s="81"/>
      <c r="M86" s="17"/>
      <c r="N86" s="82">
        <f t="shared" si="9"/>
        <v>32269</v>
      </c>
      <c r="O86" s="17"/>
      <c r="P86" s="87">
        <f t="shared" si="8"/>
        <v>9763</v>
      </c>
      <c r="Q86" s="87">
        <f t="shared" si="10"/>
        <v>42032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1888010</v>
      </c>
      <c r="J87" s="10"/>
      <c r="K87" s="17"/>
      <c r="L87" s="81"/>
      <c r="M87" s="17"/>
      <c r="N87" s="82">
        <f t="shared" si="9"/>
        <v>32430</v>
      </c>
      <c r="O87" s="17"/>
      <c r="P87" s="87">
        <f t="shared" si="8"/>
        <v>9602</v>
      </c>
      <c r="Q87" s="87">
        <f t="shared" si="10"/>
        <v>42032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1855418</v>
      </c>
      <c r="J88" s="10"/>
      <c r="K88" s="17"/>
      <c r="L88" s="81"/>
      <c r="M88" s="17"/>
      <c r="N88" s="82">
        <f t="shared" si="9"/>
        <v>32592</v>
      </c>
      <c r="O88" s="17"/>
      <c r="P88" s="87">
        <f t="shared" si="8"/>
        <v>9440</v>
      </c>
      <c r="Q88" s="87">
        <f t="shared" si="10"/>
        <v>42032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1822663</v>
      </c>
      <c r="J89" s="10"/>
      <c r="K89" s="17"/>
      <c r="L89" s="81"/>
      <c r="M89" s="17"/>
      <c r="N89" s="82">
        <f t="shared" si="9"/>
        <v>32755</v>
      </c>
      <c r="O89" s="17"/>
      <c r="P89" s="87">
        <f t="shared" si="8"/>
        <v>9277</v>
      </c>
      <c r="Q89" s="87">
        <f t="shared" si="10"/>
        <v>42032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1789744</v>
      </c>
      <c r="J90" s="10"/>
      <c r="K90" s="17"/>
      <c r="L90" s="81"/>
      <c r="M90" s="17"/>
      <c r="N90" s="82">
        <f t="shared" si="9"/>
        <v>32919</v>
      </c>
      <c r="O90" s="17"/>
      <c r="P90" s="87">
        <f t="shared" si="8"/>
        <v>9113</v>
      </c>
      <c r="Q90" s="87">
        <f t="shared" si="10"/>
        <v>42032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1756660</v>
      </c>
      <c r="J91" s="10"/>
      <c r="K91" s="17"/>
      <c r="L91" s="81"/>
      <c r="M91" s="17"/>
      <c r="N91" s="82">
        <f t="shared" si="9"/>
        <v>33084</v>
      </c>
      <c r="O91" s="17"/>
      <c r="P91" s="87">
        <f t="shared" si="8"/>
        <v>8948</v>
      </c>
      <c r="Q91" s="87">
        <f t="shared" si="10"/>
        <v>42032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1723411</v>
      </c>
      <c r="J92" s="10"/>
      <c r="K92" s="17"/>
      <c r="L92" s="81"/>
      <c r="M92" s="17"/>
      <c r="N92" s="82">
        <f t="shared" si="9"/>
        <v>33249</v>
      </c>
      <c r="O92" s="17"/>
      <c r="P92" s="87">
        <f t="shared" si="8"/>
        <v>8783</v>
      </c>
      <c r="Q92" s="87">
        <f t="shared" si="10"/>
        <v>42032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1689996</v>
      </c>
      <c r="J93" s="10"/>
      <c r="K93" s="17"/>
      <c r="L93" s="81"/>
      <c r="M93" s="17"/>
      <c r="N93" s="82">
        <f t="shared" si="9"/>
        <v>33415</v>
      </c>
      <c r="O93" s="17"/>
      <c r="P93" s="87">
        <f t="shared" si="8"/>
        <v>8617</v>
      </c>
      <c r="Q93" s="87">
        <f t="shared" si="10"/>
        <v>42032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1656413</v>
      </c>
      <c r="J94" s="10"/>
      <c r="K94" s="17"/>
      <c r="L94" s="81"/>
      <c r="M94" s="17"/>
      <c r="N94" s="82">
        <f t="shared" si="9"/>
        <v>33583</v>
      </c>
      <c r="O94" s="17"/>
      <c r="P94" s="87">
        <f t="shared" si="8"/>
        <v>8449</v>
      </c>
      <c r="Q94" s="87">
        <f t="shared" si="10"/>
        <v>42032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1622663</v>
      </c>
      <c r="J95" s="10"/>
      <c r="K95" s="17"/>
      <c r="L95" s="81"/>
      <c r="M95" s="17"/>
      <c r="N95" s="82">
        <f t="shared" si="9"/>
        <v>33750</v>
      </c>
      <c r="O95" s="17"/>
      <c r="P95" s="87">
        <f t="shared" si="8"/>
        <v>8282</v>
      </c>
      <c r="Q95" s="87">
        <f t="shared" si="10"/>
        <v>42032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1588744</v>
      </c>
      <c r="J96" s="10"/>
      <c r="K96" s="17"/>
      <c r="L96" s="81"/>
      <c r="M96" s="17"/>
      <c r="N96" s="82">
        <f t="shared" si="9"/>
        <v>33919</v>
      </c>
      <c r="O96" s="17"/>
      <c r="P96" s="87">
        <f t="shared" si="8"/>
        <v>8113</v>
      </c>
      <c r="Q96" s="87">
        <f t="shared" si="10"/>
        <v>42032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1554655</v>
      </c>
      <c r="J97" s="10"/>
      <c r="K97" s="17"/>
      <c r="L97" s="81"/>
      <c r="M97" s="17"/>
      <c r="N97" s="82">
        <f t="shared" si="9"/>
        <v>34089</v>
      </c>
      <c r="O97" s="17"/>
      <c r="P97" s="87">
        <f t="shared" si="8"/>
        <v>7943</v>
      </c>
      <c r="Q97" s="87">
        <f t="shared" si="10"/>
        <v>42032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1520396</v>
      </c>
      <c r="J98" s="10"/>
      <c r="K98" s="17"/>
      <c r="L98" s="81"/>
      <c r="M98" s="17"/>
      <c r="N98" s="82">
        <f t="shared" si="9"/>
        <v>34259</v>
      </c>
      <c r="O98" s="17"/>
      <c r="P98" s="87">
        <f t="shared" si="8"/>
        <v>7773</v>
      </c>
      <c r="Q98" s="87">
        <f t="shared" si="10"/>
        <v>42032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1485965</v>
      </c>
      <c r="J99" s="10"/>
      <c r="K99" s="17"/>
      <c r="L99" s="81"/>
      <c r="M99" s="17"/>
      <c r="N99" s="82">
        <f t="shared" si="9"/>
        <v>34431</v>
      </c>
      <c r="O99" s="17"/>
      <c r="P99" s="87">
        <f t="shared" si="8"/>
        <v>7601</v>
      </c>
      <c r="Q99" s="87">
        <f t="shared" si="10"/>
        <v>42032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1451362</v>
      </c>
      <c r="J100" s="10"/>
      <c r="K100" s="17"/>
      <c r="L100" s="81"/>
      <c r="M100" s="17"/>
      <c r="N100" s="82">
        <f t="shared" si="9"/>
        <v>34603</v>
      </c>
      <c r="O100" s="17"/>
      <c r="P100" s="87">
        <f t="shared" si="8"/>
        <v>7429</v>
      </c>
      <c r="Q100" s="87">
        <f t="shared" si="10"/>
        <v>42032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1416586</v>
      </c>
      <c r="J101" s="10"/>
      <c r="K101" s="17"/>
      <c r="L101" s="81"/>
      <c r="M101" s="17"/>
      <c r="N101" s="82">
        <f t="shared" si="9"/>
        <v>34776</v>
      </c>
      <c r="O101" s="17"/>
      <c r="P101" s="87">
        <f t="shared" si="8"/>
        <v>7256</v>
      </c>
      <c r="Q101" s="87">
        <f t="shared" si="10"/>
        <v>42032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1381636</v>
      </c>
      <c r="J102" s="10"/>
      <c r="K102" s="17"/>
      <c r="L102" s="81"/>
      <c r="M102" s="17"/>
      <c r="N102" s="82">
        <f t="shared" si="9"/>
        <v>34950</v>
      </c>
      <c r="O102" s="17"/>
      <c r="P102" s="87">
        <f t="shared" si="8"/>
        <v>7082</v>
      </c>
      <c r="Q102" s="87">
        <f t="shared" si="10"/>
        <v>42032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1346512</v>
      </c>
      <c r="J103" s="10"/>
      <c r="K103" s="17"/>
      <c r="L103" s="81"/>
      <c r="M103" s="17"/>
      <c r="N103" s="82">
        <f t="shared" si="9"/>
        <v>35124</v>
      </c>
      <c r="O103" s="17"/>
      <c r="P103" s="87">
        <f t="shared" si="8"/>
        <v>6908</v>
      </c>
      <c r="Q103" s="87">
        <f t="shared" si="10"/>
        <v>42032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1311212</v>
      </c>
      <c r="J104" s="10"/>
      <c r="K104" s="17"/>
      <c r="L104" s="81"/>
      <c r="M104" s="17"/>
      <c r="N104" s="82">
        <f t="shared" si="9"/>
        <v>35300</v>
      </c>
      <c r="O104" s="17"/>
      <c r="P104" s="87">
        <f t="shared" si="8"/>
        <v>6732</v>
      </c>
      <c r="Q104" s="87">
        <f t="shared" si="10"/>
        <v>42032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1275736</v>
      </c>
      <c r="J105" s="10"/>
      <c r="K105" s="17"/>
      <c r="L105" s="81"/>
      <c r="M105" s="17"/>
      <c r="N105" s="82">
        <f t="shared" si="9"/>
        <v>35476</v>
      </c>
      <c r="O105" s="17"/>
      <c r="P105" s="87">
        <f t="shared" si="8"/>
        <v>6556</v>
      </c>
      <c r="Q105" s="87">
        <f t="shared" si="10"/>
        <v>42032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1240082</v>
      </c>
      <c r="J106" s="10"/>
      <c r="K106" s="17"/>
      <c r="L106" s="81"/>
      <c r="M106" s="17"/>
      <c r="N106" s="82">
        <f t="shared" si="9"/>
        <v>35654</v>
      </c>
      <c r="O106" s="17"/>
      <c r="P106" s="87">
        <f t="shared" si="8"/>
        <v>6378</v>
      </c>
      <c r="Q106" s="87">
        <f t="shared" si="10"/>
        <v>42032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1204250</v>
      </c>
      <c r="J107" s="10"/>
      <c r="K107" s="17"/>
      <c r="L107" s="81"/>
      <c r="M107" s="17"/>
      <c r="N107" s="82">
        <f t="shared" si="9"/>
        <v>35832</v>
      </c>
      <c r="O107" s="17"/>
      <c r="P107" s="87">
        <f t="shared" si="8"/>
        <v>6200</v>
      </c>
      <c r="Q107" s="87">
        <f t="shared" si="10"/>
        <v>42032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1168239</v>
      </c>
      <c r="J108" s="10"/>
      <c r="K108" s="17"/>
      <c r="L108" s="81"/>
      <c r="M108" s="17"/>
      <c r="N108" s="82">
        <f t="shared" si="9"/>
        <v>36011</v>
      </c>
      <c r="O108" s="17"/>
      <c r="P108" s="87">
        <f t="shared" si="8"/>
        <v>6021</v>
      </c>
      <c r="Q108" s="87">
        <f t="shared" si="10"/>
        <v>42032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1132048</v>
      </c>
      <c r="J109" s="10"/>
      <c r="K109" s="17"/>
      <c r="L109" s="81"/>
      <c r="M109" s="17"/>
      <c r="N109" s="82">
        <f t="shared" si="9"/>
        <v>36191</v>
      </c>
      <c r="O109" s="17"/>
      <c r="P109" s="87">
        <f t="shared" si="8"/>
        <v>5841</v>
      </c>
      <c r="Q109" s="87">
        <f t="shared" si="10"/>
        <v>42032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1095676</v>
      </c>
      <c r="J110" s="10"/>
      <c r="K110" s="17"/>
      <c r="L110" s="81"/>
      <c r="M110" s="17"/>
      <c r="N110" s="82">
        <f t="shared" si="9"/>
        <v>36372</v>
      </c>
      <c r="O110" s="17"/>
      <c r="P110" s="87">
        <f t="shared" si="8"/>
        <v>5660</v>
      </c>
      <c r="Q110" s="87">
        <f t="shared" si="10"/>
        <v>42032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1059122</v>
      </c>
      <c r="J111" s="10"/>
      <c r="K111" s="17"/>
      <c r="L111" s="81"/>
      <c r="M111" s="17"/>
      <c r="N111" s="82">
        <f t="shared" si="9"/>
        <v>36554</v>
      </c>
      <c r="O111" s="17"/>
      <c r="P111" s="87">
        <f t="shared" si="8"/>
        <v>5478</v>
      </c>
      <c r="Q111" s="87">
        <f t="shared" si="10"/>
        <v>42032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1022385</v>
      </c>
      <c r="J112" s="10"/>
      <c r="K112" s="17"/>
      <c r="L112" s="81"/>
      <c r="M112" s="17"/>
      <c r="N112" s="82">
        <f t="shared" si="9"/>
        <v>36737</v>
      </c>
      <c r="O112" s="17"/>
      <c r="P112" s="87">
        <f t="shared" si="8"/>
        <v>5295</v>
      </c>
      <c r="Q112" s="87">
        <f t="shared" si="10"/>
        <v>42032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985464</v>
      </c>
      <c r="J113" s="10"/>
      <c r="K113" s="17"/>
      <c r="L113" s="81"/>
      <c r="M113" s="17"/>
      <c r="N113" s="82">
        <f t="shared" si="9"/>
        <v>36921</v>
      </c>
      <c r="O113" s="17"/>
      <c r="P113" s="87">
        <f t="shared" si="8"/>
        <v>5111</v>
      </c>
      <c r="Q113" s="87">
        <f t="shared" si="10"/>
        <v>42032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948359</v>
      </c>
      <c r="J114" s="10"/>
      <c r="K114" s="17"/>
      <c r="L114" s="81"/>
      <c r="M114" s="17"/>
      <c r="N114" s="82">
        <f t="shared" si="9"/>
        <v>37105</v>
      </c>
      <c r="O114" s="17"/>
      <c r="P114" s="87">
        <f t="shared" si="8"/>
        <v>4927</v>
      </c>
      <c r="Q114" s="87">
        <f t="shared" si="10"/>
        <v>42032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911068</v>
      </c>
      <c r="J115" s="10"/>
      <c r="K115" s="17"/>
      <c r="L115" s="81"/>
      <c r="M115" s="17"/>
      <c r="N115" s="82">
        <f t="shared" si="9"/>
        <v>37291</v>
      </c>
      <c r="O115" s="17"/>
      <c r="P115" s="87">
        <f t="shared" si="8"/>
        <v>4741</v>
      </c>
      <c r="Q115" s="87">
        <f t="shared" si="10"/>
        <v>42032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873591</v>
      </c>
      <c r="J116" s="10"/>
      <c r="K116" s="17"/>
      <c r="L116" s="81"/>
      <c r="M116" s="17"/>
      <c r="N116" s="82">
        <f t="shared" si="9"/>
        <v>37477</v>
      </c>
      <c r="O116" s="17"/>
      <c r="P116" s="87">
        <f t="shared" si="8"/>
        <v>4555</v>
      </c>
      <c r="Q116" s="87">
        <f t="shared" si="10"/>
        <v>42032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835926</v>
      </c>
      <c r="J117" s="10"/>
      <c r="K117" s="17"/>
      <c r="L117" s="81"/>
      <c r="M117" s="17"/>
      <c r="N117" s="82">
        <f t="shared" si="9"/>
        <v>37665</v>
      </c>
      <c r="O117" s="17"/>
      <c r="P117" s="87">
        <f t="shared" si="8"/>
        <v>4367</v>
      </c>
      <c r="Q117" s="87">
        <f t="shared" si="10"/>
        <v>42032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798073</v>
      </c>
      <c r="J118" s="10"/>
      <c r="K118" s="17"/>
      <c r="L118" s="81"/>
      <c r="M118" s="17"/>
      <c r="N118" s="82">
        <f t="shared" si="9"/>
        <v>37853</v>
      </c>
      <c r="O118" s="17"/>
      <c r="P118" s="87">
        <f t="shared" si="8"/>
        <v>4179</v>
      </c>
      <c r="Q118" s="87">
        <f t="shared" si="10"/>
        <v>42032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760031</v>
      </c>
      <c r="J119" s="10"/>
      <c r="K119" s="17"/>
      <c r="L119" s="81"/>
      <c r="M119" s="17"/>
      <c r="N119" s="82">
        <f t="shared" si="9"/>
        <v>38042</v>
      </c>
      <c r="O119" s="17"/>
      <c r="P119" s="87">
        <f t="shared" si="8"/>
        <v>3990</v>
      </c>
      <c r="Q119" s="87">
        <f t="shared" si="10"/>
        <v>42032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721799</v>
      </c>
      <c r="J120" s="10"/>
      <c r="K120" s="17"/>
      <c r="L120" s="81"/>
      <c r="M120" s="17"/>
      <c r="N120" s="82">
        <f t="shared" si="9"/>
        <v>38232</v>
      </c>
      <c r="O120" s="17"/>
      <c r="P120" s="87">
        <f t="shared" si="8"/>
        <v>3800</v>
      </c>
      <c r="Q120" s="87">
        <f t="shared" si="10"/>
        <v>42032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683375</v>
      </c>
      <c r="J121" s="10"/>
      <c r="K121" s="17"/>
      <c r="L121" s="81"/>
      <c r="M121" s="17"/>
      <c r="N121" s="82">
        <f t="shared" si="9"/>
        <v>38424</v>
      </c>
      <c r="O121" s="17"/>
      <c r="P121" s="87">
        <f t="shared" si="8"/>
        <v>3608</v>
      </c>
      <c r="Q121" s="87">
        <f t="shared" si="10"/>
        <v>42032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644759</v>
      </c>
      <c r="J122" s="10"/>
      <c r="K122" s="17"/>
      <c r="L122" s="81"/>
      <c r="M122" s="17"/>
      <c r="N122" s="82">
        <f t="shared" si="9"/>
        <v>38616</v>
      </c>
      <c r="O122" s="17"/>
      <c r="P122" s="87">
        <f t="shared" si="8"/>
        <v>3416</v>
      </c>
      <c r="Q122" s="87">
        <f t="shared" si="10"/>
        <v>42032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605950</v>
      </c>
      <c r="J123" s="10"/>
      <c r="K123" s="17"/>
      <c r="L123" s="81"/>
      <c r="M123" s="17"/>
      <c r="N123" s="82">
        <f t="shared" si="9"/>
        <v>38809</v>
      </c>
      <c r="O123" s="17"/>
      <c r="P123" s="87">
        <f t="shared" si="8"/>
        <v>3223</v>
      </c>
      <c r="Q123" s="87">
        <f t="shared" si="10"/>
        <v>42032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566947</v>
      </c>
      <c r="J124" s="10"/>
      <c r="K124" s="17"/>
      <c r="L124" s="81"/>
      <c r="M124" s="17"/>
      <c r="N124" s="82">
        <f t="shared" si="9"/>
        <v>39003</v>
      </c>
      <c r="O124" s="17"/>
      <c r="P124" s="87">
        <f t="shared" si="8"/>
        <v>3029</v>
      </c>
      <c r="Q124" s="87">
        <f t="shared" si="10"/>
        <v>42032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527749</v>
      </c>
      <c r="J125" s="10"/>
      <c r="K125" s="17"/>
      <c r="L125" s="81"/>
      <c r="M125" s="17"/>
      <c r="N125" s="82">
        <f t="shared" si="9"/>
        <v>39198</v>
      </c>
      <c r="O125" s="17"/>
      <c r="P125" s="87">
        <f t="shared" si="8"/>
        <v>2834</v>
      </c>
      <c r="Q125" s="87">
        <f t="shared" si="10"/>
        <v>42032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488355</v>
      </c>
      <c r="J126" s="10"/>
      <c r="K126" s="17"/>
      <c r="L126" s="81"/>
      <c r="M126" s="17"/>
      <c r="N126" s="82">
        <f t="shared" si="9"/>
        <v>39394</v>
      </c>
      <c r="O126" s="17"/>
      <c r="P126" s="87">
        <f t="shared" si="8"/>
        <v>2638</v>
      </c>
      <c r="Q126" s="87">
        <f t="shared" si="10"/>
        <v>42032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448764</v>
      </c>
      <c r="J127" s="10"/>
      <c r="K127" s="17"/>
      <c r="L127" s="81"/>
      <c r="M127" s="17"/>
      <c r="N127" s="82">
        <f t="shared" si="9"/>
        <v>39591</v>
      </c>
      <c r="O127" s="17"/>
      <c r="P127" s="87">
        <f t="shared" si="8"/>
        <v>2441</v>
      </c>
      <c r="Q127" s="87">
        <f t="shared" si="10"/>
        <v>42032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408975</v>
      </c>
      <c r="J128" s="10"/>
      <c r="K128" s="17"/>
      <c r="L128" s="81"/>
      <c r="M128" s="17"/>
      <c r="N128" s="82">
        <f t="shared" si="9"/>
        <v>39789</v>
      </c>
      <c r="O128" s="17"/>
      <c r="P128" s="87">
        <f t="shared" si="8"/>
        <v>2243</v>
      </c>
      <c r="Q128" s="87">
        <f t="shared" si="10"/>
        <v>42032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368987</v>
      </c>
      <c r="J129" s="10"/>
      <c r="K129" s="17"/>
      <c r="L129" s="81"/>
      <c r="M129" s="17"/>
      <c r="N129" s="82">
        <f t="shared" si="9"/>
        <v>39988</v>
      </c>
      <c r="O129" s="17"/>
      <c r="P129" s="87">
        <f t="shared" si="8"/>
        <v>2044</v>
      </c>
      <c r="Q129" s="87">
        <f t="shared" si="10"/>
        <v>42032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328799</v>
      </c>
      <c r="J130" s="10"/>
      <c r="K130" s="17"/>
      <c r="L130" s="81"/>
      <c r="M130" s="17"/>
      <c r="N130" s="82">
        <f t="shared" si="9"/>
        <v>40188</v>
      </c>
      <c r="O130" s="17"/>
      <c r="P130" s="87">
        <f t="shared" si="8"/>
        <v>1844</v>
      </c>
      <c r="Q130" s="87">
        <f t="shared" si="10"/>
        <v>42032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288410</v>
      </c>
      <c r="J131" s="10"/>
      <c r="K131" s="17"/>
      <c r="L131" s="81"/>
      <c r="M131" s="17"/>
      <c r="N131" s="82">
        <f t="shared" si="9"/>
        <v>40389</v>
      </c>
      <c r="O131" s="17"/>
      <c r="P131" s="87">
        <f t="shared" si="8"/>
        <v>1643</v>
      </c>
      <c r="Q131" s="87">
        <f t="shared" si="10"/>
        <v>42032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247820</v>
      </c>
      <c r="J132" s="10"/>
      <c r="K132" s="17"/>
      <c r="L132" s="81"/>
      <c r="M132" s="17"/>
      <c r="N132" s="82">
        <f t="shared" si="9"/>
        <v>40590</v>
      </c>
      <c r="O132" s="17"/>
      <c r="P132" s="87">
        <f t="shared" si="8"/>
        <v>1442</v>
      </c>
      <c r="Q132" s="87">
        <f t="shared" si="10"/>
        <v>42032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207027</v>
      </c>
      <c r="J133" s="10"/>
      <c r="K133" s="17"/>
      <c r="L133" s="81"/>
      <c r="M133" s="17"/>
      <c r="N133" s="82">
        <f t="shared" si="9"/>
        <v>40793</v>
      </c>
      <c r="O133" s="17"/>
      <c r="P133" s="87">
        <f t="shared" si="8"/>
        <v>1239</v>
      </c>
      <c r="Q133" s="87">
        <f t="shared" si="10"/>
        <v>42032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166030</v>
      </c>
      <c r="J134" s="10"/>
      <c r="K134" s="17"/>
      <c r="L134" s="81"/>
      <c r="M134" s="17"/>
      <c r="N134" s="82">
        <f t="shared" si="9"/>
        <v>40997</v>
      </c>
      <c r="O134" s="17"/>
      <c r="P134" s="87">
        <f t="shared" si="8"/>
        <v>1035</v>
      </c>
      <c r="Q134" s="87">
        <f t="shared" si="10"/>
        <v>42032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124828</v>
      </c>
      <c r="J135" s="10"/>
      <c r="K135" s="17"/>
      <c r="L135" s="81"/>
      <c r="M135" s="17"/>
      <c r="N135" s="82">
        <f t="shared" si="9"/>
        <v>41202</v>
      </c>
      <c r="O135" s="17"/>
      <c r="P135" s="87">
        <f t="shared" si="8"/>
        <v>830</v>
      </c>
      <c r="Q135" s="87">
        <f t="shared" si="10"/>
        <v>42032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83420</v>
      </c>
      <c r="J136" s="10"/>
      <c r="K136" s="17"/>
      <c r="L136" s="81"/>
      <c r="M136" s="17"/>
      <c r="N136" s="82">
        <f t="shared" si="9"/>
        <v>41408</v>
      </c>
      <c r="O136" s="17"/>
      <c r="P136" s="87">
        <f t="shared" si="8"/>
        <v>624</v>
      </c>
      <c r="Q136" s="87">
        <f t="shared" si="10"/>
        <v>42032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41805</v>
      </c>
      <c r="J137" s="10"/>
      <c r="K137" s="17"/>
      <c r="L137" s="81"/>
      <c r="M137" s="17"/>
      <c r="N137" s="82">
        <f t="shared" si="9"/>
        <v>41615</v>
      </c>
      <c r="O137" s="17"/>
      <c r="P137" s="87">
        <f t="shared" si="8"/>
        <v>417</v>
      </c>
      <c r="Q137" s="87">
        <f t="shared" si="10"/>
        <v>42032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41805</v>
      </c>
      <c r="O138" s="17"/>
      <c r="P138" s="87">
        <f t="shared" si="8"/>
        <v>209</v>
      </c>
      <c r="Q138" s="87">
        <f t="shared" si="10"/>
        <v>42014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76" t="str">
        <f t="shared" si="4"/>
        <v>0</v>
      </c>
      <c r="F139" s="77">
        <f t="shared" si="12"/>
        <v>1</v>
      </c>
      <c r="G139" s="78" t="str">
        <f t="shared" si="2"/>
        <v>Ene</v>
      </c>
      <c r="H139" s="79">
        <f t="shared" si="6"/>
        <v>2036</v>
      </c>
      <c r="I139" s="80" t="str">
        <f t="shared" si="7"/>
        <v>0</v>
      </c>
      <c r="J139" s="10"/>
      <c r="K139" s="17"/>
      <c r="L139" s="81"/>
      <c r="M139" s="17"/>
      <c r="N139" s="82">
        <f t="shared" si="9"/>
        <v>0</v>
      </c>
      <c r="O139" s="17"/>
      <c r="P139" s="87">
        <f t="shared" si="8"/>
        <v>0</v>
      </c>
      <c r="Q139" s="87">
        <f t="shared" si="10"/>
        <v>0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76" t="str">
        <f t="shared" si="4"/>
        <v>0</v>
      </c>
      <c r="F140" s="77">
        <f t="shared" si="12"/>
        <v>1</v>
      </c>
      <c r="G140" s="78" t="str">
        <f t="shared" si="2"/>
        <v>Feb</v>
      </c>
      <c r="H140" s="79">
        <f t="shared" si="6"/>
        <v>2036</v>
      </c>
      <c r="I140" s="80" t="str">
        <f t="shared" si="7"/>
        <v>0</v>
      </c>
      <c r="J140" s="10"/>
      <c r="K140" s="17"/>
      <c r="L140" s="81"/>
      <c r="M140" s="17"/>
      <c r="N140" s="82">
        <f t="shared" si="9"/>
        <v>0</v>
      </c>
      <c r="O140" s="17"/>
      <c r="P140" s="87">
        <f t="shared" si="8"/>
        <v>0</v>
      </c>
      <c r="Q140" s="87">
        <f t="shared" si="10"/>
        <v>0</v>
      </c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76" t="str">
        <f t="shared" si="4"/>
        <v>0</v>
      </c>
      <c r="F141" s="77">
        <f t="shared" si="12"/>
        <v>1</v>
      </c>
      <c r="G141" s="78" t="str">
        <f t="shared" si="2"/>
        <v>Mar</v>
      </c>
      <c r="H141" s="79">
        <f t="shared" si="6"/>
        <v>2036</v>
      </c>
      <c r="I141" s="80" t="str">
        <f t="shared" si="7"/>
        <v>0</v>
      </c>
      <c r="J141" s="10"/>
      <c r="K141" s="17"/>
      <c r="L141" s="81"/>
      <c r="M141" s="17"/>
      <c r="N141" s="82">
        <f t="shared" si="9"/>
        <v>0</v>
      </c>
      <c r="O141" s="17"/>
      <c r="P141" s="87">
        <f t="shared" si="8"/>
        <v>0</v>
      </c>
      <c r="Q141" s="87">
        <f t="shared" si="10"/>
        <v>0</v>
      </c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76" t="str">
        <f t="shared" si="4"/>
        <v>0</v>
      </c>
      <c r="F142" s="77">
        <f t="shared" si="12"/>
        <v>1</v>
      </c>
      <c r="G142" s="78" t="str">
        <f t="shared" si="2"/>
        <v>Abr</v>
      </c>
      <c r="H142" s="79">
        <f t="shared" si="6"/>
        <v>2036</v>
      </c>
      <c r="I142" s="80" t="str">
        <f t="shared" si="7"/>
        <v>0</v>
      </c>
      <c r="J142" s="10"/>
      <c r="K142" s="17"/>
      <c r="L142" s="81"/>
      <c r="M142" s="17"/>
      <c r="N142" s="82">
        <f t="shared" si="9"/>
        <v>0</v>
      </c>
      <c r="O142" s="17"/>
      <c r="P142" s="87">
        <f t="shared" si="8"/>
        <v>0</v>
      </c>
      <c r="Q142" s="87">
        <f t="shared" si="10"/>
        <v>0</v>
      </c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76" t="str">
        <f t="shared" si="4"/>
        <v>0</v>
      </c>
      <c r="F143" s="77">
        <f t="shared" si="12"/>
        <v>1</v>
      </c>
      <c r="G143" s="78" t="str">
        <f t="shared" si="2"/>
        <v>May</v>
      </c>
      <c r="H143" s="79">
        <f t="shared" si="6"/>
        <v>2036</v>
      </c>
      <c r="I143" s="80" t="str">
        <f t="shared" si="7"/>
        <v>0</v>
      </c>
      <c r="J143" s="10"/>
      <c r="K143" s="17"/>
      <c r="L143" s="81"/>
      <c r="M143" s="17"/>
      <c r="N143" s="82">
        <f t="shared" si="9"/>
        <v>0</v>
      </c>
      <c r="O143" s="17"/>
      <c r="P143" s="87">
        <f t="shared" si="8"/>
        <v>0</v>
      </c>
      <c r="Q143" s="87">
        <f t="shared" si="10"/>
        <v>0</v>
      </c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76" t="str">
        <f t="shared" si="4"/>
        <v>0</v>
      </c>
      <c r="F144" s="77">
        <f t="shared" si="12"/>
        <v>1</v>
      </c>
      <c r="G144" s="78" t="str">
        <f t="shared" si="2"/>
        <v>Jun</v>
      </c>
      <c r="H144" s="79">
        <f t="shared" si="6"/>
        <v>2036</v>
      </c>
      <c r="I144" s="80" t="str">
        <f t="shared" si="7"/>
        <v>0</v>
      </c>
      <c r="J144" s="10"/>
      <c r="K144" s="17"/>
      <c r="L144" s="81"/>
      <c r="M144" s="17"/>
      <c r="N144" s="82">
        <f t="shared" si="9"/>
        <v>0</v>
      </c>
      <c r="O144" s="17"/>
      <c r="P144" s="87">
        <f t="shared" si="8"/>
        <v>0</v>
      </c>
      <c r="Q144" s="87">
        <f t="shared" si="10"/>
        <v>0</v>
      </c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76" t="str">
        <f t="shared" si="4"/>
        <v>0</v>
      </c>
      <c r="F145" s="77">
        <f t="shared" si="12"/>
        <v>1</v>
      </c>
      <c r="G145" s="78" t="str">
        <f t="shared" si="2"/>
        <v>Jul</v>
      </c>
      <c r="H145" s="79">
        <f t="shared" si="6"/>
        <v>2036</v>
      </c>
      <c r="I145" s="80" t="str">
        <f t="shared" si="7"/>
        <v>0</v>
      </c>
      <c r="J145" s="10"/>
      <c r="K145" s="17"/>
      <c r="L145" s="81"/>
      <c r="M145" s="17"/>
      <c r="N145" s="82">
        <f t="shared" si="9"/>
        <v>0</v>
      </c>
      <c r="O145" s="17"/>
      <c r="P145" s="87">
        <f t="shared" si="8"/>
        <v>0</v>
      </c>
      <c r="Q145" s="87">
        <f t="shared" si="10"/>
        <v>0</v>
      </c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76" t="str">
        <f t="shared" si="4"/>
        <v>0</v>
      </c>
      <c r="F146" s="77">
        <f t="shared" si="12"/>
        <v>1</v>
      </c>
      <c r="G146" s="78" t="str">
        <f t="shared" si="2"/>
        <v>Ago</v>
      </c>
      <c r="H146" s="79">
        <f t="shared" si="6"/>
        <v>2036</v>
      </c>
      <c r="I146" s="80" t="str">
        <f t="shared" si="7"/>
        <v>0</v>
      </c>
      <c r="J146" s="10"/>
      <c r="K146" s="17"/>
      <c r="L146" s="81"/>
      <c r="M146" s="17"/>
      <c r="N146" s="82">
        <f t="shared" si="9"/>
        <v>0</v>
      </c>
      <c r="O146" s="17"/>
      <c r="P146" s="87">
        <f t="shared" si="8"/>
        <v>0</v>
      </c>
      <c r="Q146" s="87">
        <f t="shared" si="10"/>
        <v>0</v>
      </c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76" t="str">
        <f t="shared" si="4"/>
        <v>0</v>
      </c>
      <c r="F147" s="77">
        <f t="shared" si="12"/>
        <v>1</v>
      </c>
      <c r="G147" s="78" t="str">
        <f t="shared" si="2"/>
        <v>Sep</v>
      </c>
      <c r="H147" s="79">
        <f t="shared" si="6"/>
        <v>2036</v>
      </c>
      <c r="I147" s="80" t="str">
        <f t="shared" si="7"/>
        <v>0</v>
      </c>
      <c r="J147" s="10"/>
      <c r="K147" s="17"/>
      <c r="L147" s="81"/>
      <c r="M147" s="17"/>
      <c r="N147" s="82">
        <f t="shared" si="9"/>
        <v>0</v>
      </c>
      <c r="O147" s="17"/>
      <c r="P147" s="87">
        <f t="shared" si="8"/>
        <v>0</v>
      </c>
      <c r="Q147" s="87">
        <f t="shared" si="10"/>
        <v>0</v>
      </c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76" t="str">
        <f t="shared" si="4"/>
        <v>0</v>
      </c>
      <c r="F148" s="88">
        <f t="shared" si="12"/>
        <v>1</v>
      </c>
      <c r="G148" s="78" t="str">
        <f t="shared" si="2"/>
        <v>Oct</v>
      </c>
      <c r="H148" s="89">
        <f t="shared" si="6"/>
        <v>2036</v>
      </c>
      <c r="I148" s="80" t="str">
        <f t="shared" si="7"/>
        <v>0</v>
      </c>
      <c r="J148" s="10"/>
      <c r="K148" s="17"/>
      <c r="L148" s="81"/>
      <c r="M148" s="17"/>
      <c r="N148" s="82">
        <f t="shared" si="9"/>
        <v>0</v>
      </c>
      <c r="O148" s="17"/>
      <c r="P148" s="87">
        <f t="shared" si="8"/>
        <v>0</v>
      </c>
      <c r="Q148" s="87">
        <f t="shared" si="10"/>
        <v>0</v>
      </c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76" t="str">
        <f t="shared" si="4"/>
        <v>0</v>
      </c>
      <c r="F149" s="77">
        <f t="shared" si="12"/>
        <v>1</v>
      </c>
      <c r="G149" s="78" t="str">
        <f t="shared" si="2"/>
        <v>Nov</v>
      </c>
      <c r="H149" s="79">
        <f t="shared" si="6"/>
        <v>2036</v>
      </c>
      <c r="I149" s="80" t="str">
        <f t="shared" si="7"/>
        <v>0</v>
      </c>
      <c r="J149" s="10"/>
      <c r="K149" s="17"/>
      <c r="L149" s="81"/>
      <c r="M149" s="17"/>
      <c r="N149" s="82">
        <f t="shared" si="9"/>
        <v>0</v>
      </c>
      <c r="O149" s="17"/>
      <c r="P149" s="87">
        <f t="shared" si="8"/>
        <v>0</v>
      </c>
      <c r="Q149" s="87">
        <f t="shared" si="10"/>
        <v>0</v>
      </c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76" t="str">
        <f t="shared" si="4"/>
        <v>0</v>
      </c>
      <c r="F150" s="77">
        <f t="shared" si="12"/>
        <v>1</v>
      </c>
      <c r="G150" s="78" t="str">
        <f t="shared" si="2"/>
        <v>Dic</v>
      </c>
      <c r="H150" s="79">
        <f t="shared" si="6"/>
        <v>2036</v>
      </c>
      <c r="I150" s="80" t="str">
        <f t="shared" si="7"/>
        <v>0</v>
      </c>
      <c r="J150" s="10"/>
      <c r="K150" s="17"/>
      <c r="L150" s="81"/>
      <c r="M150" s="17"/>
      <c r="N150" s="82">
        <f t="shared" si="9"/>
        <v>0</v>
      </c>
      <c r="O150" s="17"/>
      <c r="P150" s="87">
        <f t="shared" si="8"/>
        <v>0</v>
      </c>
      <c r="Q150" s="87">
        <f t="shared" si="10"/>
        <v>0</v>
      </c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76" t="str">
        <f t="shared" si="4"/>
        <v>0</v>
      </c>
      <c r="F151" s="77">
        <f t="shared" si="12"/>
        <v>1</v>
      </c>
      <c r="G151" s="78" t="str">
        <f t="shared" si="2"/>
        <v>Ene</v>
      </c>
      <c r="H151" s="79">
        <f t="shared" si="6"/>
        <v>2037</v>
      </c>
      <c r="I151" s="80" t="str">
        <f t="shared" si="7"/>
        <v>0</v>
      </c>
      <c r="J151" s="10"/>
      <c r="K151" s="17"/>
      <c r="L151" s="81"/>
      <c r="M151" s="17"/>
      <c r="N151" s="82">
        <f t="shared" si="9"/>
        <v>0</v>
      </c>
      <c r="O151" s="17"/>
      <c r="P151" s="87">
        <f t="shared" si="8"/>
        <v>0</v>
      </c>
      <c r="Q151" s="87">
        <f t="shared" si="10"/>
        <v>0</v>
      </c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76" t="str">
        <f t="shared" si="4"/>
        <v>0</v>
      </c>
      <c r="F152" s="77">
        <f t="shared" si="12"/>
        <v>1</v>
      </c>
      <c r="G152" s="78" t="str">
        <f t="shared" si="2"/>
        <v>Feb</v>
      </c>
      <c r="H152" s="79">
        <f t="shared" si="6"/>
        <v>2037</v>
      </c>
      <c r="I152" s="80" t="str">
        <f t="shared" si="7"/>
        <v>0</v>
      </c>
      <c r="J152" s="10"/>
      <c r="K152" s="17"/>
      <c r="L152" s="81"/>
      <c r="M152" s="17"/>
      <c r="N152" s="82">
        <f t="shared" si="9"/>
        <v>0</v>
      </c>
      <c r="O152" s="17"/>
      <c r="P152" s="87">
        <f t="shared" si="8"/>
        <v>0</v>
      </c>
      <c r="Q152" s="87">
        <f t="shared" si="10"/>
        <v>0</v>
      </c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76" t="str">
        <f t="shared" si="4"/>
        <v>0</v>
      </c>
      <c r="F153" s="77">
        <f t="shared" si="12"/>
        <v>1</v>
      </c>
      <c r="G153" s="78" t="str">
        <f t="shared" si="2"/>
        <v>Mar</v>
      </c>
      <c r="H153" s="79">
        <f t="shared" si="6"/>
        <v>2037</v>
      </c>
      <c r="I153" s="80" t="str">
        <f t="shared" si="7"/>
        <v>0</v>
      </c>
      <c r="J153" s="10"/>
      <c r="K153" s="17"/>
      <c r="L153" s="81"/>
      <c r="M153" s="17"/>
      <c r="N153" s="82">
        <f t="shared" si="9"/>
        <v>0</v>
      </c>
      <c r="O153" s="17"/>
      <c r="P153" s="87">
        <f t="shared" si="8"/>
        <v>0</v>
      </c>
      <c r="Q153" s="87">
        <f t="shared" si="10"/>
        <v>0</v>
      </c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76" t="str">
        <f t="shared" si="4"/>
        <v>0</v>
      </c>
      <c r="F154" s="77">
        <f t="shared" si="12"/>
        <v>1</v>
      </c>
      <c r="G154" s="78" t="str">
        <f t="shared" si="2"/>
        <v>Abr</v>
      </c>
      <c r="H154" s="79">
        <f t="shared" si="6"/>
        <v>2037</v>
      </c>
      <c r="I154" s="80" t="str">
        <f t="shared" si="7"/>
        <v>0</v>
      </c>
      <c r="J154" s="10"/>
      <c r="K154" s="17"/>
      <c r="L154" s="81"/>
      <c r="M154" s="17"/>
      <c r="N154" s="82">
        <f t="shared" si="9"/>
        <v>0</v>
      </c>
      <c r="O154" s="17"/>
      <c r="P154" s="87">
        <f t="shared" si="8"/>
        <v>0</v>
      </c>
      <c r="Q154" s="87">
        <f t="shared" si="10"/>
        <v>0</v>
      </c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76" t="str">
        <f t="shared" si="4"/>
        <v>0</v>
      </c>
      <c r="F155" s="77">
        <f t="shared" si="12"/>
        <v>1</v>
      </c>
      <c r="G155" s="78" t="str">
        <f t="shared" si="2"/>
        <v>May</v>
      </c>
      <c r="H155" s="79">
        <f t="shared" si="6"/>
        <v>2037</v>
      </c>
      <c r="I155" s="80" t="str">
        <f t="shared" si="7"/>
        <v>0</v>
      </c>
      <c r="J155" s="10"/>
      <c r="K155" s="17"/>
      <c r="L155" s="81"/>
      <c r="M155" s="17"/>
      <c r="N155" s="82">
        <f t="shared" si="9"/>
        <v>0</v>
      </c>
      <c r="O155" s="17"/>
      <c r="P155" s="87">
        <f t="shared" si="8"/>
        <v>0</v>
      </c>
      <c r="Q155" s="87">
        <f t="shared" si="10"/>
        <v>0</v>
      </c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76" t="str">
        <f t="shared" si="4"/>
        <v>0</v>
      </c>
      <c r="F156" s="77">
        <f t="shared" si="12"/>
        <v>1</v>
      </c>
      <c r="G156" s="78" t="str">
        <f t="shared" si="2"/>
        <v>Jun</v>
      </c>
      <c r="H156" s="79">
        <f t="shared" si="6"/>
        <v>2037</v>
      </c>
      <c r="I156" s="80" t="str">
        <f t="shared" si="7"/>
        <v>0</v>
      </c>
      <c r="J156" s="10"/>
      <c r="K156" s="17"/>
      <c r="L156" s="81"/>
      <c r="M156" s="17"/>
      <c r="N156" s="82">
        <f t="shared" si="9"/>
        <v>0</v>
      </c>
      <c r="O156" s="17"/>
      <c r="P156" s="87">
        <f t="shared" si="8"/>
        <v>0</v>
      </c>
      <c r="Q156" s="87">
        <f t="shared" si="10"/>
        <v>0</v>
      </c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76" t="str">
        <f t="shared" si="4"/>
        <v>0</v>
      </c>
      <c r="F157" s="77">
        <f t="shared" si="12"/>
        <v>1</v>
      </c>
      <c r="G157" s="78" t="str">
        <f t="shared" si="2"/>
        <v>Jul</v>
      </c>
      <c r="H157" s="79">
        <f t="shared" si="6"/>
        <v>2037</v>
      </c>
      <c r="I157" s="80" t="str">
        <f t="shared" si="7"/>
        <v>0</v>
      </c>
      <c r="J157" s="10"/>
      <c r="K157" s="17"/>
      <c r="L157" s="81"/>
      <c r="M157" s="17"/>
      <c r="N157" s="82">
        <f t="shared" si="9"/>
        <v>0</v>
      </c>
      <c r="O157" s="17"/>
      <c r="P157" s="87">
        <f t="shared" si="8"/>
        <v>0</v>
      </c>
      <c r="Q157" s="87">
        <f t="shared" si="10"/>
        <v>0</v>
      </c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76" t="str">
        <f t="shared" si="4"/>
        <v>0</v>
      </c>
      <c r="F158" s="77">
        <f t="shared" si="12"/>
        <v>1</v>
      </c>
      <c r="G158" s="78" t="str">
        <f t="shared" si="2"/>
        <v>Ago</v>
      </c>
      <c r="H158" s="79">
        <f t="shared" si="6"/>
        <v>2037</v>
      </c>
      <c r="I158" s="80" t="str">
        <f t="shared" si="7"/>
        <v>0</v>
      </c>
      <c r="J158" s="10"/>
      <c r="K158" s="17"/>
      <c r="L158" s="81"/>
      <c r="M158" s="17"/>
      <c r="N158" s="82">
        <f t="shared" si="9"/>
        <v>0</v>
      </c>
      <c r="O158" s="17"/>
      <c r="P158" s="87">
        <f t="shared" si="8"/>
        <v>0</v>
      </c>
      <c r="Q158" s="87">
        <f t="shared" si="10"/>
        <v>0</v>
      </c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76" t="str">
        <f t="shared" si="4"/>
        <v>0</v>
      </c>
      <c r="F159" s="77">
        <f t="shared" si="12"/>
        <v>1</v>
      </c>
      <c r="G159" s="78" t="str">
        <f t="shared" si="2"/>
        <v>Sep</v>
      </c>
      <c r="H159" s="79">
        <f t="shared" si="6"/>
        <v>2037</v>
      </c>
      <c r="I159" s="80" t="str">
        <f t="shared" si="7"/>
        <v>0</v>
      </c>
      <c r="J159" s="10"/>
      <c r="K159" s="17"/>
      <c r="L159" s="81"/>
      <c r="M159" s="17"/>
      <c r="N159" s="82">
        <f t="shared" si="9"/>
        <v>0</v>
      </c>
      <c r="O159" s="17"/>
      <c r="P159" s="87">
        <f t="shared" si="8"/>
        <v>0</v>
      </c>
      <c r="Q159" s="87">
        <f t="shared" si="10"/>
        <v>0</v>
      </c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76" t="str">
        <f t="shared" si="4"/>
        <v>0</v>
      </c>
      <c r="F160" s="88">
        <f t="shared" si="12"/>
        <v>1</v>
      </c>
      <c r="G160" s="78" t="str">
        <f t="shared" si="2"/>
        <v>Oct</v>
      </c>
      <c r="H160" s="89">
        <f t="shared" si="6"/>
        <v>2037</v>
      </c>
      <c r="I160" s="80" t="str">
        <f t="shared" si="7"/>
        <v>0</v>
      </c>
      <c r="J160" s="10"/>
      <c r="K160" s="17"/>
      <c r="L160" s="81"/>
      <c r="M160" s="17"/>
      <c r="N160" s="82">
        <f t="shared" si="9"/>
        <v>0</v>
      </c>
      <c r="O160" s="17"/>
      <c r="P160" s="87">
        <f t="shared" si="8"/>
        <v>0</v>
      </c>
      <c r="Q160" s="87">
        <f t="shared" si="10"/>
        <v>0</v>
      </c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76" t="str">
        <f t="shared" si="4"/>
        <v>0</v>
      </c>
      <c r="F161" s="77">
        <f t="shared" si="12"/>
        <v>1</v>
      </c>
      <c r="G161" s="78" t="str">
        <f t="shared" si="2"/>
        <v>Nov</v>
      </c>
      <c r="H161" s="79">
        <f t="shared" si="6"/>
        <v>2037</v>
      </c>
      <c r="I161" s="80" t="str">
        <f t="shared" si="7"/>
        <v>0</v>
      </c>
      <c r="J161" s="10"/>
      <c r="K161" s="17"/>
      <c r="L161" s="81"/>
      <c r="M161" s="17"/>
      <c r="N161" s="82">
        <f t="shared" si="9"/>
        <v>0</v>
      </c>
      <c r="O161" s="17"/>
      <c r="P161" s="87">
        <f t="shared" si="8"/>
        <v>0</v>
      </c>
      <c r="Q161" s="87">
        <f t="shared" si="10"/>
        <v>0</v>
      </c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76" t="str">
        <f t="shared" si="4"/>
        <v>0</v>
      </c>
      <c r="F162" s="77">
        <f t="shared" si="12"/>
        <v>1</v>
      </c>
      <c r="G162" s="78" t="str">
        <f t="shared" si="2"/>
        <v>Dic</v>
      </c>
      <c r="H162" s="79">
        <f t="shared" si="6"/>
        <v>2037</v>
      </c>
      <c r="I162" s="80" t="str">
        <f t="shared" si="7"/>
        <v>0</v>
      </c>
      <c r="J162" s="10"/>
      <c r="K162" s="17"/>
      <c r="L162" s="81"/>
      <c r="M162" s="17"/>
      <c r="N162" s="82">
        <f t="shared" si="9"/>
        <v>0</v>
      </c>
      <c r="O162" s="17"/>
      <c r="P162" s="87">
        <f t="shared" si="8"/>
        <v>0</v>
      </c>
      <c r="Q162" s="87">
        <f t="shared" si="10"/>
        <v>0</v>
      </c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76" t="str">
        <f t="shared" si="4"/>
        <v>0</v>
      </c>
      <c r="F163" s="77">
        <f t="shared" si="12"/>
        <v>1</v>
      </c>
      <c r="G163" s="78" t="str">
        <f t="shared" si="2"/>
        <v>Ene</v>
      </c>
      <c r="H163" s="79">
        <f t="shared" si="6"/>
        <v>2038</v>
      </c>
      <c r="I163" s="80" t="str">
        <f t="shared" si="7"/>
        <v>0</v>
      </c>
      <c r="J163" s="10"/>
      <c r="K163" s="17"/>
      <c r="L163" s="81"/>
      <c r="M163" s="17"/>
      <c r="N163" s="82">
        <f t="shared" si="9"/>
        <v>0</v>
      </c>
      <c r="O163" s="17"/>
      <c r="P163" s="87">
        <f t="shared" si="8"/>
        <v>0</v>
      </c>
      <c r="Q163" s="87">
        <f t="shared" si="10"/>
        <v>0</v>
      </c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76" t="str">
        <f t="shared" si="4"/>
        <v>0</v>
      </c>
      <c r="F164" s="77">
        <f t="shared" si="12"/>
        <v>1</v>
      </c>
      <c r="G164" s="78" t="str">
        <f t="shared" si="2"/>
        <v>Feb</v>
      </c>
      <c r="H164" s="79">
        <f t="shared" si="6"/>
        <v>2038</v>
      </c>
      <c r="I164" s="80" t="str">
        <f t="shared" si="7"/>
        <v>0</v>
      </c>
      <c r="J164" s="10"/>
      <c r="K164" s="17"/>
      <c r="L164" s="81"/>
      <c r="M164" s="17"/>
      <c r="N164" s="82">
        <f t="shared" si="9"/>
        <v>0</v>
      </c>
      <c r="O164" s="17"/>
      <c r="P164" s="87">
        <f t="shared" si="8"/>
        <v>0</v>
      </c>
      <c r="Q164" s="87">
        <f t="shared" si="10"/>
        <v>0</v>
      </c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76" t="str">
        <f t="shared" si="4"/>
        <v>0</v>
      </c>
      <c r="F165" s="77">
        <f t="shared" si="12"/>
        <v>1</v>
      </c>
      <c r="G165" s="78" t="str">
        <f t="shared" si="2"/>
        <v>Mar</v>
      </c>
      <c r="H165" s="79">
        <f t="shared" si="6"/>
        <v>2038</v>
      </c>
      <c r="I165" s="80" t="str">
        <f t="shared" si="7"/>
        <v>0</v>
      </c>
      <c r="J165" s="10"/>
      <c r="K165" s="17"/>
      <c r="L165" s="81"/>
      <c r="M165" s="17"/>
      <c r="N165" s="82">
        <f t="shared" si="9"/>
        <v>0</v>
      </c>
      <c r="O165" s="17"/>
      <c r="P165" s="87">
        <f t="shared" si="8"/>
        <v>0</v>
      </c>
      <c r="Q165" s="87">
        <f t="shared" si="10"/>
        <v>0</v>
      </c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76" t="str">
        <f t="shared" si="4"/>
        <v>0</v>
      </c>
      <c r="F166" s="77">
        <f t="shared" si="12"/>
        <v>1</v>
      </c>
      <c r="G166" s="78" t="str">
        <f t="shared" si="2"/>
        <v>Abr</v>
      </c>
      <c r="H166" s="79">
        <f t="shared" si="6"/>
        <v>2038</v>
      </c>
      <c r="I166" s="80" t="str">
        <f t="shared" si="7"/>
        <v>0</v>
      </c>
      <c r="J166" s="10"/>
      <c r="K166" s="17"/>
      <c r="L166" s="81"/>
      <c r="M166" s="17"/>
      <c r="N166" s="82">
        <f t="shared" si="9"/>
        <v>0</v>
      </c>
      <c r="O166" s="17"/>
      <c r="P166" s="87">
        <f t="shared" si="8"/>
        <v>0</v>
      </c>
      <c r="Q166" s="87">
        <f t="shared" si="10"/>
        <v>0</v>
      </c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76" t="str">
        <f t="shared" si="4"/>
        <v>0</v>
      </c>
      <c r="F167" s="77">
        <f t="shared" si="12"/>
        <v>1</v>
      </c>
      <c r="G167" s="78" t="str">
        <f t="shared" si="2"/>
        <v>May</v>
      </c>
      <c r="H167" s="79">
        <f t="shared" si="6"/>
        <v>2038</v>
      </c>
      <c r="I167" s="80" t="str">
        <f t="shared" si="7"/>
        <v>0</v>
      </c>
      <c r="J167" s="10"/>
      <c r="K167" s="17"/>
      <c r="L167" s="81"/>
      <c r="M167" s="17"/>
      <c r="N167" s="82">
        <f t="shared" si="9"/>
        <v>0</v>
      </c>
      <c r="O167" s="17"/>
      <c r="P167" s="87">
        <f t="shared" si="8"/>
        <v>0</v>
      </c>
      <c r="Q167" s="87">
        <f t="shared" si="10"/>
        <v>0</v>
      </c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76">
        <v>150.0</v>
      </c>
      <c r="F168" s="77">
        <f t="shared" si="12"/>
        <v>1</v>
      </c>
      <c r="G168" s="78" t="s">
        <v>25</v>
      </c>
      <c r="H168" s="79">
        <f t="shared" si="6"/>
        <v>2039</v>
      </c>
      <c r="I168" s="80" t="str">
        <f t="shared" si="7"/>
        <v>0</v>
      </c>
      <c r="J168" s="10"/>
      <c r="K168" s="17"/>
      <c r="L168" s="81"/>
      <c r="M168" s="17"/>
      <c r="N168" s="82">
        <f t="shared" si="9"/>
        <v>0</v>
      </c>
      <c r="O168" s="17"/>
      <c r="P168" s="87">
        <f t="shared" si="8"/>
        <v>0</v>
      </c>
      <c r="Q168" s="87">
        <f t="shared" si="10"/>
        <v>0</v>
      </c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76">
        <v>151.0</v>
      </c>
      <c r="F169" s="77">
        <f t="shared" si="12"/>
        <v>1</v>
      </c>
      <c r="G169" s="78" t="s">
        <v>26</v>
      </c>
      <c r="H169" s="79">
        <v>2038.0</v>
      </c>
      <c r="I169" s="80" t="str">
        <f t="shared" si="7"/>
        <v>0</v>
      </c>
      <c r="J169" s="10"/>
      <c r="K169" s="17"/>
      <c r="L169" s="81"/>
      <c r="M169" s="17"/>
      <c r="N169" s="82">
        <f t="shared" si="9"/>
        <v>0</v>
      </c>
      <c r="O169" s="17"/>
      <c r="P169" s="87">
        <f t="shared" si="8"/>
        <v>0</v>
      </c>
      <c r="Q169" s="87">
        <f t="shared" si="10"/>
        <v>0</v>
      </c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76">
        <v>152.0</v>
      </c>
      <c r="F170" s="77">
        <f t="shared" si="12"/>
        <v>1</v>
      </c>
      <c r="G170" s="78" t="s">
        <v>27</v>
      </c>
      <c r="H170" s="79">
        <v>2038.0</v>
      </c>
      <c r="I170" s="80" t="str">
        <f t="shared" si="7"/>
        <v>0</v>
      </c>
      <c r="J170" s="10"/>
      <c r="K170" s="17"/>
      <c r="L170" s="81"/>
      <c r="M170" s="17"/>
      <c r="N170" s="82">
        <f t="shared" si="9"/>
        <v>0</v>
      </c>
      <c r="O170" s="17"/>
      <c r="P170" s="87">
        <f t="shared" si="8"/>
        <v>0</v>
      </c>
      <c r="Q170" s="87">
        <f t="shared" si="10"/>
        <v>0</v>
      </c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76">
        <v>153.0</v>
      </c>
      <c r="F171" s="77">
        <f t="shared" si="12"/>
        <v>1</v>
      </c>
      <c r="G171" s="78" t="s">
        <v>28</v>
      </c>
      <c r="H171" s="79">
        <v>2038.0</v>
      </c>
      <c r="I171" s="80" t="str">
        <f t="shared" si="7"/>
        <v>0</v>
      </c>
      <c r="J171" s="10"/>
      <c r="K171" s="17"/>
      <c r="L171" s="81"/>
      <c r="M171" s="17"/>
      <c r="N171" s="82">
        <f t="shared" si="9"/>
        <v>0</v>
      </c>
      <c r="O171" s="17"/>
      <c r="P171" s="87">
        <f t="shared" si="8"/>
        <v>0</v>
      </c>
      <c r="Q171" s="87">
        <f t="shared" si="10"/>
        <v>0</v>
      </c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76">
        <v>154.0</v>
      </c>
      <c r="F172" s="77">
        <f t="shared" si="12"/>
        <v>1</v>
      </c>
      <c r="G172" s="78" t="s">
        <v>29</v>
      </c>
      <c r="H172" s="79">
        <v>2038.0</v>
      </c>
      <c r="I172" s="80" t="str">
        <f t="shared" si="7"/>
        <v>0</v>
      </c>
      <c r="J172" s="10"/>
      <c r="K172" s="17"/>
      <c r="L172" s="81"/>
      <c r="M172" s="17"/>
      <c r="N172" s="82">
        <f t="shared" si="9"/>
        <v>0</v>
      </c>
      <c r="O172" s="17"/>
      <c r="P172" s="87">
        <f t="shared" si="8"/>
        <v>0</v>
      </c>
      <c r="Q172" s="87">
        <f t="shared" si="10"/>
        <v>0</v>
      </c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76">
        <v>155.0</v>
      </c>
      <c r="F173" s="77">
        <f t="shared" si="12"/>
        <v>1</v>
      </c>
      <c r="G173" s="78" t="s">
        <v>30</v>
      </c>
      <c r="H173" s="79">
        <v>2038.0</v>
      </c>
      <c r="I173" s="80" t="str">
        <f t="shared" si="7"/>
        <v>0</v>
      </c>
      <c r="J173" s="10"/>
      <c r="K173" s="17"/>
      <c r="L173" s="81"/>
      <c r="M173" s="17"/>
      <c r="N173" s="82">
        <f t="shared" si="9"/>
        <v>0</v>
      </c>
      <c r="O173" s="17"/>
      <c r="P173" s="87">
        <f t="shared" si="8"/>
        <v>0</v>
      </c>
      <c r="Q173" s="87">
        <f t="shared" si="10"/>
        <v>0</v>
      </c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76">
        <v>156.0</v>
      </c>
      <c r="F174" s="77">
        <f t="shared" si="12"/>
        <v>1</v>
      </c>
      <c r="G174" s="78" t="s">
        <v>31</v>
      </c>
      <c r="H174" s="79">
        <v>2038.0</v>
      </c>
      <c r="I174" s="80" t="str">
        <f t="shared" si="7"/>
        <v>0</v>
      </c>
      <c r="J174" s="10"/>
      <c r="K174" s="17"/>
      <c r="L174" s="81"/>
      <c r="M174" s="17"/>
      <c r="N174" s="82">
        <f t="shared" si="9"/>
        <v>0</v>
      </c>
      <c r="O174" s="17"/>
      <c r="P174" s="87">
        <f t="shared" si="8"/>
        <v>0</v>
      </c>
      <c r="Q174" s="87">
        <f t="shared" si="10"/>
        <v>0</v>
      </c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76">
        <v>157.0</v>
      </c>
      <c r="F175" s="77">
        <f t="shared" si="12"/>
        <v>1</v>
      </c>
      <c r="G175" s="78" t="s">
        <v>32</v>
      </c>
      <c r="H175" s="79">
        <v>2038.0</v>
      </c>
      <c r="I175" s="80" t="str">
        <f t="shared" si="7"/>
        <v>0</v>
      </c>
      <c r="J175" s="10"/>
      <c r="K175" s="17"/>
      <c r="L175" s="81"/>
      <c r="M175" s="17"/>
      <c r="N175" s="82">
        <f t="shared" si="9"/>
        <v>0</v>
      </c>
      <c r="O175" s="17"/>
      <c r="P175" s="87">
        <f t="shared" si="8"/>
        <v>0</v>
      </c>
      <c r="Q175" s="87">
        <f t="shared" si="10"/>
        <v>0</v>
      </c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76">
        <v>158.0</v>
      </c>
      <c r="F176" s="77">
        <f t="shared" si="12"/>
        <v>1</v>
      </c>
      <c r="G176" s="78" t="s">
        <v>33</v>
      </c>
      <c r="H176" s="79">
        <v>2038.0</v>
      </c>
      <c r="I176" s="80" t="str">
        <f t="shared" si="7"/>
        <v>0</v>
      </c>
      <c r="J176" s="10"/>
      <c r="K176" s="17"/>
      <c r="L176" s="81"/>
      <c r="M176" s="17"/>
      <c r="N176" s="82">
        <f t="shared" si="9"/>
        <v>0</v>
      </c>
      <c r="O176" s="17"/>
      <c r="P176" s="87">
        <f t="shared" si="8"/>
        <v>0</v>
      </c>
      <c r="Q176" s="87">
        <f t="shared" si="10"/>
        <v>0</v>
      </c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76">
        <v>159.0</v>
      </c>
      <c r="F177" s="77">
        <f t="shared" si="12"/>
        <v>1</v>
      </c>
      <c r="G177" s="78" t="s">
        <v>34</v>
      </c>
      <c r="H177" s="79">
        <v>2038.0</v>
      </c>
      <c r="I177" s="80" t="str">
        <f t="shared" si="7"/>
        <v>0</v>
      </c>
      <c r="J177" s="10"/>
      <c r="K177" s="17"/>
      <c r="L177" s="81"/>
      <c r="M177" s="17"/>
      <c r="N177" s="82">
        <f t="shared" si="9"/>
        <v>0</v>
      </c>
      <c r="O177" s="17"/>
      <c r="P177" s="87">
        <f t="shared" si="8"/>
        <v>0</v>
      </c>
      <c r="Q177" s="87">
        <f t="shared" si="10"/>
        <v>0</v>
      </c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76">
        <v>160.0</v>
      </c>
      <c r="F178" s="77">
        <f t="shared" si="12"/>
        <v>1</v>
      </c>
      <c r="G178" s="78" t="s">
        <v>35</v>
      </c>
      <c r="H178" s="79">
        <v>2038.0</v>
      </c>
      <c r="I178" s="80" t="str">
        <f t="shared" si="7"/>
        <v>0</v>
      </c>
      <c r="J178" s="10"/>
      <c r="K178" s="17"/>
      <c r="L178" s="81"/>
      <c r="M178" s="17"/>
      <c r="N178" s="82">
        <f t="shared" si="9"/>
        <v>0</v>
      </c>
      <c r="O178" s="17"/>
      <c r="P178" s="87">
        <f t="shared" si="8"/>
        <v>0</v>
      </c>
      <c r="Q178" s="87">
        <f t="shared" si="10"/>
        <v>0</v>
      </c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76">
        <v>161.0</v>
      </c>
      <c r="F179" s="77">
        <f t="shared" si="12"/>
        <v>1</v>
      </c>
      <c r="G179" s="78" t="s">
        <v>36</v>
      </c>
      <c r="H179" s="79">
        <v>2038.0</v>
      </c>
      <c r="I179" s="80" t="str">
        <f t="shared" si="7"/>
        <v>0</v>
      </c>
      <c r="J179" s="10"/>
      <c r="K179" s="17"/>
      <c r="L179" s="81"/>
      <c r="M179" s="17"/>
      <c r="N179" s="82">
        <f t="shared" si="9"/>
        <v>0</v>
      </c>
      <c r="O179" s="17"/>
      <c r="P179" s="87">
        <f t="shared" si="8"/>
        <v>0</v>
      </c>
      <c r="Q179" s="87">
        <f t="shared" si="10"/>
        <v>0</v>
      </c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76">
        <v>162.0</v>
      </c>
      <c r="F180" s="77">
        <f t="shared" si="12"/>
        <v>1</v>
      </c>
      <c r="G180" s="78" t="s">
        <v>25</v>
      </c>
      <c r="H180" s="79">
        <f>IF(C180&gt;C179,H179,H179+1)</f>
        <v>2039</v>
      </c>
      <c r="I180" s="80" t="str">
        <f t="shared" si="7"/>
        <v>0</v>
      </c>
      <c r="J180" s="10"/>
      <c r="K180" s="17"/>
      <c r="L180" s="81"/>
      <c r="M180" s="17"/>
      <c r="N180" s="82">
        <f t="shared" si="9"/>
        <v>0</v>
      </c>
      <c r="O180" s="17"/>
      <c r="P180" s="87">
        <f t="shared" si="8"/>
        <v>0</v>
      </c>
      <c r="Q180" s="87">
        <f t="shared" si="10"/>
        <v>0</v>
      </c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76">
        <v>163.0</v>
      </c>
      <c r="F181" s="77">
        <f t="shared" si="12"/>
        <v>1</v>
      </c>
      <c r="G181" s="78" t="s">
        <v>26</v>
      </c>
      <c r="H181" s="79">
        <v>2039.0</v>
      </c>
      <c r="I181" s="80" t="str">
        <f t="shared" si="7"/>
        <v>0</v>
      </c>
      <c r="J181" s="10"/>
      <c r="K181" s="17"/>
      <c r="L181" s="81"/>
      <c r="M181" s="17"/>
      <c r="N181" s="82">
        <f t="shared" si="9"/>
        <v>0</v>
      </c>
      <c r="O181" s="17"/>
      <c r="P181" s="87">
        <f t="shared" si="8"/>
        <v>0</v>
      </c>
      <c r="Q181" s="87">
        <f t="shared" si="10"/>
        <v>0</v>
      </c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76">
        <v>164.0</v>
      </c>
      <c r="F182" s="77">
        <f t="shared" si="12"/>
        <v>1</v>
      </c>
      <c r="G182" s="78" t="s">
        <v>27</v>
      </c>
      <c r="H182" s="79">
        <v>2039.0</v>
      </c>
      <c r="I182" s="80" t="str">
        <f t="shared" si="7"/>
        <v>0</v>
      </c>
      <c r="J182" s="10"/>
      <c r="K182" s="17"/>
      <c r="L182" s="81"/>
      <c r="M182" s="17"/>
      <c r="N182" s="82">
        <f t="shared" si="9"/>
        <v>0</v>
      </c>
      <c r="O182" s="17"/>
      <c r="P182" s="87">
        <f t="shared" si="8"/>
        <v>0</v>
      </c>
      <c r="Q182" s="87">
        <f t="shared" si="10"/>
        <v>0</v>
      </c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76">
        <v>165.0</v>
      </c>
      <c r="F183" s="77">
        <f t="shared" si="12"/>
        <v>1</v>
      </c>
      <c r="G183" s="78" t="s">
        <v>28</v>
      </c>
      <c r="H183" s="79">
        <v>2039.0</v>
      </c>
      <c r="I183" s="80" t="str">
        <f t="shared" si="7"/>
        <v>0</v>
      </c>
      <c r="J183" s="10"/>
      <c r="K183" s="17"/>
      <c r="L183" s="81"/>
      <c r="M183" s="17"/>
      <c r="N183" s="82">
        <f t="shared" si="9"/>
        <v>0</v>
      </c>
      <c r="O183" s="17"/>
      <c r="P183" s="87">
        <f t="shared" si="8"/>
        <v>0</v>
      </c>
      <c r="Q183" s="87">
        <f t="shared" si="10"/>
        <v>0</v>
      </c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76">
        <v>166.0</v>
      </c>
      <c r="F184" s="77">
        <f t="shared" si="12"/>
        <v>1</v>
      </c>
      <c r="G184" s="78" t="s">
        <v>29</v>
      </c>
      <c r="H184" s="79">
        <v>2039.0</v>
      </c>
      <c r="I184" s="80" t="str">
        <f t="shared" si="7"/>
        <v>0</v>
      </c>
      <c r="J184" s="10"/>
      <c r="K184" s="17"/>
      <c r="L184" s="81"/>
      <c r="M184" s="17"/>
      <c r="N184" s="82">
        <f t="shared" si="9"/>
        <v>0</v>
      </c>
      <c r="O184" s="17"/>
      <c r="P184" s="87">
        <f t="shared" si="8"/>
        <v>0</v>
      </c>
      <c r="Q184" s="87">
        <f t="shared" si="10"/>
        <v>0</v>
      </c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76">
        <v>167.0</v>
      </c>
      <c r="F185" s="77">
        <f t="shared" si="12"/>
        <v>1</v>
      </c>
      <c r="G185" s="78" t="s">
        <v>30</v>
      </c>
      <c r="H185" s="79">
        <v>2039.0</v>
      </c>
      <c r="I185" s="80" t="str">
        <f t="shared" si="7"/>
        <v>0</v>
      </c>
      <c r="J185" s="10"/>
      <c r="K185" s="17"/>
      <c r="L185" s="81"/>
      <c r="M185" s="17"/>
      <c r="N185" s="82">
        <f t="shared" si="9"/>
        <v>0</v>
      </c>
      <c r="O185" s="17"/>
      <c r="P185" s="87">
        <f t="shared" si="8"/>
        <v>0</v>
      </c>
      <c r="Q185" s="87">
        <f t="shared" si="10"/>
        <v>0</v>
      </c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76">
        <v>168.0</v>
      </c>
      <c r="F186" s="77">
        <f t="shared" si="12"/>
        <v>1</v>
      </c>
      <c r="G186" s="78" t="s">
        <v>31</v>
      </c>
      <c r="H186" s="79">
        <v>2039.0</v>
      </c>
      <c r="I186" s="80" t="str">
        <f t="shared" si="7"/>
        <v>0</v>
      </c>
      <c r="J186" s="10"/>
      <c r="K186" s="17"/>
      <c r="L186" s="81"/>
      <c r="M186" s="17"/>
      <c r="N186" s="82">
        <f t="shared" si="9"/>
        <v>0</v>
      </c>
      <c r="O186" s="17"/>
      <c r="P186" s="87">
        <f t="shared" si="8"/>
        <v>0</v>
      </c>
      <c r="Q186" s="87">
        <f t="shared" si="10"/>
        <v>0</v>
      </c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76">
        <v>169.0</v>
      </c>
      <c r="F187" s="77">
        <f t="shared" si="12"/>
        <v>1</v>
      </c>
      <c r="G187" s="78" t="s">
        <v>32</v>
      </c>
      <c r="H187" s="79">
        <v>2039.0</v>
      </c>
      <c r="I187" s="80" t="str">
        <f t="shared" si="7"/>
        <v>0</v>
      </c>
      <c r="J187" s="10"/>
      <c r="K187" s="17"/>
      <c r="L187" s="81"/>
      <c r="M187" s="17"/>
      <c r="N187" s="82">
        <f t="shared" si="9"/>
        <v>0</v>
      </c>
      <c r="O187" s="17"/>
      <c r="P187" s="87">
        <f t="shared" si="8"/>
        <v>0</v>
      </c>
      <c r="Q187" s="87">
        <f t="shared" si="10"/>
        <v>0</v>
      </c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76">
        <v>170.0</v>
      </c>
      <c r="F188" s="77">
        <f t="shared" si="12"/>
        <v>1</v>
      </c>
      <c r="G188" s="78" t="s">
        <v>33</v>
      </c>
      <c r="H188" s="79">
        <v>2039.0</v>
      </c>
      <c r="I188" s="80" t="str">
        <f t="shared" si="7"/>
        <v>0</v>
      </c>
      <c r="J188" s="10"/>
      <c r="K188" s="17"/>
      <c r="L188" s="81"/>
      <c r="M188" s="17"/>
      <c r="N188" s="82">
        <f t="shared" si="9"/>
        <v>0</v>
      </c>
      <c r="O188" s="17"/>
      <c r="P188" s="87">
        <f t="shared" si="8"/>
        <v>0</v>
      </c>
      <c r="Q188" s="87">
        <f t="shared" si="10"/>
        <v>0</v>
      </c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76">
        <v>171.0</v>
      </c>
      <c r="F189" s="77">
        <f t="shared" si="12"/>
        <v>1</v>
      </c>
      <c r="G189" s="78" t="s">
        <v>34</v>
      </c>
      <c r="H189" s="79">
        <v>2039.0</v>
      </c>
      <c r="I189" s="80" t="str">
        <f t="shared" si="7"/>
        <v>0</v>
      </c>
      <c r="J189" s="10"/>
      <c r="K189" s="17"/>
      <c r="L189" s="81"/>
      <c r="M189" s="17"/>
      <c r="N189" s="82">
        <f t="shared" si="9"/>
        <v>0</v>
      </c>
      <c r="O189" s="17"/>
      <c r="P189" s="87">
        <f t="shared" si="8"/>
        <v>0</v>
      </c>
      <c r="Q189" s="87">
        <f t="shared" si="10"/>
        <v>0</v>
      </c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76">
        <v>172.0</v>
      </c>
      <c r="F190" s="77">
        <f t="shared" si="12"/>
        <v>1</v>
      </c>
      <c r="G190" s="78" t="s">
        <v>35</v>
      </c>
      <c r="H190" s="79">
        <v>2039.0</v>
      </c>
      <c r="I190" s="80" t="str">
        <f t="shared" si="7"/>
        <v>0</v>
      </c>
      <c r="J190" s="10"/>
      <c r="K190" s="17"/>
      <c r="L190" s="81"/>
      <c r="M190" s="17"/>
      <c r="N190" s="82">
        <f t="shared" si="9"/>
        <v>0</v>
      </c>
      <c r="O190" s="17"/>
      <c r="P190" s="87">
        <f t="shared" si="8"/>
        <v>0</v>
      </c>
      <c r="Q190" s="87">
        <f t="shared" si="10"/>
        <v>0</v>
      </c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76">
        <v>173.0</v>
      </c>
      <c r="F191" s="77">
        <f t="shared" si="12"/>
        <v>1</v>
      </c>
      <c r="G191" s="78" t="s">
        <v>36</v>
      </c>
      <c r="H191" s="79">
        <v>2039.0</v>
      </c>
      <c r="I191" s="80" t="str">
        <f t="shared" si="7"/>
        <v>0</v>
      </c>
      <c r="J191" s="10"/>
      <c r="K191" s="17"/>
      <c r="L191" s="81"/>
      <c r="M191" s="17"/>
      <c r="N191" s="82">
        <f t="shared" si="9"/>
        <v>0</v>
      </c>
      <c r="O191" s="17"/>
      <c r="P191" s="87">
        <f t="shared" si="8"/>
        <v>0</v>
      </c>
      <c r="Q191" s="87">
        <f t="shared" si="10"/>
        <v>0</v>
      </c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76">
        <v>174.0</v>
      </c>
      <c r="F192" s="77">
        <f t="shared" si="12"/>
        <v>1</v>
      </c>
      <c r="G192" s="78" t="s">
        <v>25</v>
      </c>
      <c r="H192" s="79">
        <f>IF(C192&gt;C191,H191,H191+1)</f>
        <v>2040</v>
      </c>
      <c r="I192" s="80" t="str">
        <f t="shared" si="7"/>
        <v>0</v>
      </c>
      <c r="J192" s="10"/>
      <c r="K192" s="17"/>
      <c r="L192" s="81"/>
      <c r="M192" s="17"/>
      <c r="N192" s="82">
        <f t="shared" si="9"/>
        <v>0</v>
      </c>
      <c r="O192" s="17"/>
      <c r="P192" s="87">
        <f t="shared" si="8"/>
        <v>0</v>
      </c>
      <c r="Q192" s="87">
        <f t="shared" si="10"/>
        <v>0</v>
      </c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76">
        <v>175.0</v>
      </c>
      <c r="F193" s="77">
        <f t="shared" si="12"/>
        <v>1</v>
      </c>
      <c r="G193" s="78" t="s">
        <v>26</v>
      </c>
      <c r="H193" s="79">
        <v>2040.0</v>
      </c>
      <c r="I193" s="80" t="str">
        <f t="shared" si="7"/>
        <v>0</v>
      </c>
      <c r="J193" s="10"/>
      <c r="K193" s="17"/>
      <c r="L193" s="81"/>
      <c r="M193" s="17"/>
      <c r="N193" s="82">
        <f t="shared" si="9"/>
        <v>0</v>
      </c>
      <c r="O193" s="17"/>
      <c r="P193" s="87">
        <f t="shared" si="8"/>
        <v>0</v>
      </c>
      <c r="Q193" s="87">
        <f t="shared" si="10"/>
        <v>0</v>
      </c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76">
        <v>177.0</v>
      </c>
      <c r="F194" s="77">
        <f t="shared" si="12"/>
        <v>1</v>
      </c>
      <c r="G194" s="78" t="s">
        <v>27</v>
      </c>
      <c r="H194" s="79">
        <v>2040.0</v>
      </c>
      <c r="I194" s="80" t="str">
        <f t="shared" si="7"/>
        <v>0</v>
      </c>
      <c r="J194" s="10"/>
      <c r="K194" s="17"/>
      <c r="L194" s="81"/>
      <c r="M194" s="17"/>
      <c r="N194" s="82">
        <f t="shared" si="9"/>
        <v>0</v>
      </c>
      <c r="O194" s="17"/>
      <c r="P194" s="87">
        <f t="shared" si="8"/>
        <v>0</v>
      </c>
      <c r="Q194" s="87">
        <f t="shared" si="10"/>
        <v>0</v>
      </c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76">
        <v>178.0</v>
      </c>
      <c r="F195" s="77">
        <f t="shared" si="12"/>
        <v>1</v>
      </c>
      <c r="G195" s="78" t="s">
        <v>28</v>
      </c>
      <c r="H195" s="79">
        <v>2040.0</v>
      </c>
      <c r="I195" s="80" t="str">
        <f t="shared" si="7"/>
        <v>0</v>
      </c>
      <c r="J195" s="10"/>
      <c r="K195" s="17"/>
      <c r="L195" s="81"/>
      <c r="M195" s="17"/>
      <c r="N195" s="82">
        <f t="shared" si="9"/>
        <v>0</v>
      </c>
      <c r="O195" s="17"/>
      <c r="P195" s="87">
        <f t="shared" si="8"/>
        <v>0</v>
      </c>
      <c r="Q195" s="87">
        <f t="shared" si="10"/>
        <v>0</v>
      </c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76">
        <v>179.0</v>
      </c>
      <c r="F196" s="77">
        <f t="shared" si="12"/>
        <v>1</v>
      </c>
      <c r="G196" s="78" t="s">
        <v>29</v>
      </c>
      <c r="H196" s="79">
        <v>2040.0</v>
      </c>
      <c r="I196" s="80" t="str">
        <f t="shared" si="7"/>
        <v>0</v>
      </c>
      <c r="J196" s="10"/>
      <c r="K196" s="17"/>
      <c r="L196" s="81"/>
      <c r="M196" s="17"/>
      <c r="N196" s="82">
        <f t="shared" si="9"/>
        <v>0</v>
      </c>
      <c r="O196" s="17"/>
      <c r="P196" s="87">
        <f t="shared" si="8"/>
        <v>0</v>
      </c>
      <c r="Q196" s="87">
        <f t="shared" si="10"/>
        <v>0</v>
      </c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76">
        <v>180.0</v>
      </c>
      <c r="F197" s="77">
        <f t="shared" si="12"/>
        <v>1</v>
      </c>
      <c r="G197" s="78" t="s">
        <v>30</v>
      </c>
      <c r="H197" s="79">
        <v>2040.0</v>
      </c>
      <c r="I197" s="80" t="str">
        <f t="shared" si="7"/>
        <v>0</v>
      </c>
      <c r="J197" s="10"/>
      <c r="K197" s="17"/>
      <c r="L197" s="81"/>
      <c r="M197" s="17"/>
      <c r="N197" s="82">
        <f t="shared" si="9"/>
        <v>0</v>
      </c>
      <c r="O197" s="17"/>
      <c r="P197" s="87">
        <f t="shared" si="8"/>
        <v>0</v>
      </c>
      <c r="Q197" s="87">
        <f t="shared" si="10"/>
        <v>0</v>
      </c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76">
        <v>181.0</v>
      </c>
      <c r="F198" s="77">
        <f t="shared" si="12"/>
        <v>1</v>
      </c>
      <c r="G198" s="78" t="s">
        <v>31</v>
      </c>
      <c r="H198" s="79">
        <v>2040.0</v>
      </c>
      <c r="I198" s="80" t="str">
        <f t="shared" si="7"/>
        <v>0</v>
      </c>
      <c r="J198" s="10"/>
      <c r="K198" s="17"/>
      <c r="L198" s="81"/>
      <c r="M198" s="17"/>
      <c r="N198" s="82">
        <f t="shared" si="9"/>
        <v>0</v>
      </c>
      <c r="O198" s="17"/>
      <c r="P198" s="87">
        <f t="shared" si="8"/>
        <v>0</v>
      </c>
      <c r="Q198" s="87">
        <f t="shared" si="10"/>
        <v>0</v>
      </c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76">
        <v>182.0</v>
      </c>
      <c r="F199" s="77">
        <f t="shared" si="12"/>
        <v>1</v>
      </c>
      <c r="G199" s="78" t="s">
        <v>32</v>
      </c>
      <c r="H199" s="79">
        <v>2040.0</v>
      </c>
      <c r="I199" s="80" t="str">
        <f t="shared" si="7"/>
        <v>0</v>
      </c>
      <c r="J199" s="10"/>
      <c r="K199" s="17"/>
      <c r="L199" s="81"/>
      <c r="M199" s="17"/>
      <c r="N199" s="82">
        <f t="shared" si="9"/>
        <v>0</v>
      </c>
      <c r="O199" s="17"/>
      <c r="P199" s="87">
        <f t="shared" si="8"/>
        <v>0</v>
      </c>
      <c r="Q199" s="87">
        <f t="shared" si="10"/>
        <v>0</v>
      </c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76">
        <v>183.0</v>
      </c>
      <c r="F200" s="77">
        <f t="shared" si="12"/>
        <v>1</v>
      </c>
      <c r="G200" s="78" t="s">
        <v>33</v>
      </c>
      <c r="H200" s="79">
        <v>2040.0</v>
      </c>
      <c r="I200" s="80" t="str">
        <f t="shared" si="7"/>
        <v>0</v>
      </c>
      <c r="J200" s="10"/>
      <c r="K200" s="17"/>
      <c r="L200" s="81"/>
      <c r="M200" s="17"/>
      <c r="N200" s="82">
        <f t="shared" si="9"/>
        <v>0</v>
      </c>
      <c r="O200" s="17"/>
      <c r="P200" s="87">
        <f t="shared" si="8"/>
        <v>0</v>
      </c>
      <c r="Q200" s="87">
        <f t="shared" si="10"/>
        <v>0</v>
      </c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76">
        <v>184.0</v>
      </c>
      <c r="F201" s="77">
        <f t="shared" si="12"/>
        <v>1</v>
      </c>
      <c r="G201" s="78" t="s">
        <v>34</v>
      </c>
      <c r="H201" s="79">
        <v>2040.0</v>
      </c>
      <c r="I201" s="80" t="str">
        <f t="shared" si="7"/>
        <v>0</v>
      </c>
      <c r="J201" s="10"/>
      <c r="K201" s="17"/>
      <c r="L201" s="81"/>
      <c r="M201" s="17"/>
      <c r="N201" s="82">
        <f t="shared" si="9"/>
        <v>0</v>
      </c>
      <c r="O201" s="17"/>
      <c r="P201" s="87">
        <f t="shared" si="8"/>
        <v>0</v>
      </c>
      <c r="Q201" s="87">
        <f t="shared" si="10"/>
        <v>0</v>
      </c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76">
        <v>185.0</v>
      </c>
      <c r="F202" s="77">
        <f t="shared" si="12"/>
        <v>1</v>
      </c>
      <c r="G202" s="78" t="s">
        <v>35</v>
      </c>
      <c r="H202" s="79">
        <v>2040.0</v>
      </c>
      <c r="I202" s="80" t="str">
        <f t="shared" si="7"/>
        <v>0</v>
      </c>
      <c r="J202" s="10"/>
      <c r="K202" s="17"/>
      <c r="L202" s="81"/>
      <c r="M202" s="17"/>
      <c r="N202" s="82">
        <f t="shared" si="9"/>
        <v>0</v>
      </c>
      <c r="O202" s="17"/>
      <c r="P202" s="87">
        <f t="shared" si="8"/>
        <v>0</v>
      </c>
      <c r="Q202" s="87">
        <f t="shared" si="10"/>
        <v>0</v>
      </c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76">
        <v>186.0</v>
      </c>
      <c r="F203" s="77">
        <f t="shared" si="12"/>
        <v>1</v>
      </c>
      <c r="G203" s="78" t="s">
        <v>36</v>
      </c>
      <c r="H203" s="79">
        <v>2040.0</v>
      </c>
      <c r="I203" s="80" t="str">
        <f t="shared" si="7"/>
        <v>0</v>
      </c>
      <c r="J203" s="10"/>
      <c r="K203" s="17"/>
      <c r="L203" s="81"/>
      <c r="M203" s="17"/>
      <c r="N203" s="82">
        <f t="shared" si="9"/>
        <v>0</v>
      </c>
      <c r="O203" s="17"/>
      <c r="P203" s="87">
        <f t="shared" si="8"/>
        <v>0</v>
      </c>
      <c r="Q203" s="87">
        <f t="shared" si="10"/>
        <v>0</v>
      </c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76">
        <v>187.0</v>
      </c>
      <c r="F204" s="77">
        <f t="shared" si="12"/>
        <v>1</v>
      </c>
      <c r="G204" s="78" t="s">
        <v>25</v>
      </c>
      <c r="H204" s="79">
        <f>IF(C204&gt;C203,H203,H203+1)</f>
        <v>2041</v>
      </c>
      <c r="I204" s="80" t="str">
        <f t="shared" si="7"/>
        <v>0</v>
      </c>
      <c r="J204" s="10"/>
      <c r="K204" s="17"/>
      <c r="L204" s="81"/>
      <c r="M204" s="17"/>
      <c r="N204" s="82">
        <f t="shared" si="9"/>
        <v>0</v>
      </c>
      <c r="O204" s="17"/>
      <c r="P204" s="87">
        <f t="shared" si="8"/>
        <v>0</v>
      </c>
      <c r="Q204" s="87">
        <f t="shared" si="10"/>
        <v>0</v>
      </c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76">
        <v>188.0</v>
      </c>
      <c r="F205" s="77">
        <f t="shared" si="12"/>
        <v>1</v>
      </c>
      <c r="G205" s="78" t="s">
        <v>26</v>
      </c>
      <c r="H205" s="79">
        <v>2041.0</v>
      </c>
      <c r="I205" s="80" t="str">
        <f t="shared" si="7"/>
        <v>0</v>
      </c>
      <c r="J205" s="10"/>
      <c r="K205" s="17"/>
      <c r="L205" s="81"/>
      <c r="M205" s="17"/>
      <c r="N205" s="82">
        <f t="shared" si="9"/>
        <v>0</v>
      </c>
      <c r="O205" s="17"/>
      <c r="P205" s="87">
        <f t="shared" si="8"/>
        <v>0</v>
      </c>
      <c r="Q205" s="87">
        <f t="shared" si="10"/>
        <v>0</v>
      </c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76">
        <v>189.0</v>
      </c>
      <c r="F206" s="77">
        <f t="shared" si="12"/>
        <v>1</v>
      </c>
      <c r="G206" s="78" t="s">
        <v>27</v>
      </c>
      <c r="H206" s="79">
        <v>2041.0</v>
      </c>
      <c r="I206" s="80" t="str">
        <f t="shared" si="7"/>
        <v>0</v>
      </c>
      <c r="J206" s="10"/>
      <c r="K206" s="17"/>
      <c r="L206" s="81"/>
      <c r="M206" s="17"/>
      <c r="N206" s="82">
        <f t="shared" si="9"/>
        <v>0</v>
      </c>
      <c r="O206" s="17"/>
      <c r="P206" s="87">
        <f t="shared" si="8"/>
        <v>0</v>
      </c>
      <c r="Q206" s="87">
        <f t="shared" si="10"/>
        <v>0</v>
      </c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76">
        <v>190.0</v>
      </c>
      <c r="F207" s="77">
        <f t="shared" si="12"/>
        <v>1</v>
      </c>
      <c r="G207" s="78" t="s">
        <v>28</v>
      </c>
      <c r="H207" s="79">
        <v>2041.0</v>
      </c>
      <c r="I207" s="80" t="str">
        <f t="shared" si="7"/>
        <v>0</v>
      </c>
      <c r="J207" s="10"/>
      <c r="K207" s="17"/>
      <c r="L207" s="81"/>
      <c r="M207" s="17"/>
      <c r="N207" s="82">
        <f t="shared" si="9"/>
        <v>0</v>
      </c>
      <c r="O207" s="17"/>
      <c r="P207" s="87">
        <f t="shared" si="8"/>
        <v>0</v>
      </c>
      <c r="Q207" s="87">
        <f t="shared" si="10"/>
        <v>0</v>
      </c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76">
        <v>191.0</v>
      </c>
      <c r="F208" s="77">
        <f t="shared" si="12"/>
        <v>1</v>
      </c>
      <c r="G208" s="78" t="s">
        <v>29</v>
      </c>
      <c r="H208" s="79">
        <v>2041.0</v>
      </c>
      <c r="I208" s="80" t="str">
        <f t="shared" si="7"/>
        <v>0</v>
      </c>
      <c r="J208" s="10"/>
      <c r="K208" s="17"/>
      <c r="L208" s="81"/>
      <c r="M208" s="17"/>
      <c r="N208" s="82">
        <f t="shared" si="9"/>
        <v>0</v>
      </c>
      <c r="O208" s="17"/>
      <c r="P208" s="87">
        <f t="shared" si="8"/>
        <v>0</v>
      </c>
      <c r="Q208" s="87">
        <f t="shared" si="10"/>
        <v>0</v>
      </c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76">
        <v>192.0</v>
      </c>
      <c r="F209" s="77">
        <f t="shared" si="12"/>
        <v>1</v>
      </c>
      <c r="G209" s="78" t="s">
        <v>30</v>
      </c>
      <c r="H209" s="79">
        <v>2041.0</v>
      </c>
      <c r="I209" s="80" t="str">
        <f t="shared" si="7"/>
        <v>0</v>
      </c>
      <c r="J209" s="10"/>
      <c r="K209" s="17"/>
      <c r="L209" s="81"/>
      <c r="M209" s="17"/>
      <c r="N209" s="82">
        <f t="shared" si="9"/>
        <v>0</v>
      </c>
      <c r="O209" s="17"/>
      <c r="P209" s="87">
        <f t="shared" si="8"/>
        <v>0</v>
      </c>
      <c r="Q209" s="87">
        <f t="shared" si="10"/>
        <v>0</v>
      </c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76">
        <v>193.0</v>
      </c>
      <c r="F210" s="77">
        <f t="shared" si="12"/>
        <v>1</v>
      </c>
      <c r="G210" s="78" t="s">
        <v>31</v>
      </c>
      <c r="H210" s="79">
        <v>2041.0</v>
      </c>
      <c r="I210" s="80" t="str">
        <f t="shared" si="7"/>
        <v>0</v>
      </c>
      <c r="J210" s="10"/>
      <c r="K210" s="17"/>
      <c r="L210" s="81"/>
      <c r="M210" s="17"/>
      <c r="N210" s="82">
        <f t="shared" si="9"/>
        <v>0</v>
      </c>
      <c r="O210" s="17"/>
      <c r="P210" s="87">
        <f t="shared" si="8"/>
        <v>0</v>
      </c>
      <c r="Q210" s="87">
        <f t="shared" si="10"/>
        <v>0</v>
      </c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76">
        <v>194.0</v>
      </c>
      <c r="F211" s="77">
        <f t="shared" si="12"/>
        <v>1</v>
      </c>
      <c r="G211" s="78" t="s">
        <v>32</v>
      </c>
      <c r="H211" s="79">
        <v>2041.0</v>
      </c>
      <c r="I211" s="80" t="str">
        <f t="shared" si="7"/>
        <v>0</v>
      </c>
      <c r="J211" s="10"/>
      <c r="K211" s="17"/>
      <c r="L211" s="81"/>
      <c r="M211" s="17"/>
      <c r="N211" s="82">
        <f t="shared" si="9"/>
        <v>0</v>
      </c>
      <c r="O211" s="17"/>
      <c r="P211" s="87">
        <f t="shared" si="8"/>
        <v>0</v>
      </c>
      <c r="Q211" s="87">
        <f t="shared" si="10"/>
        <v>0</v>
      </c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76">
        <v>195.0</v>
      </c>
      <c r="F212" s="77">
        <f t="shared" si="12"/>
        <v>1</v>
      </c>
      <c r="G212" s="78" t="s">
        <v>33</v>
      </c>
      <c r="H212" s="79">
        <v>2041.0</v>
      </c>
      <c r="I212" s="80" t="str">
        <f t="shared" si="7"/>
        <v>0</v>
      </c>
      <c r="J212" s="10"/>
      <c r="K212" s="17"/>
      <c r="L212" s="81"/>
      <c r="M212" s="17"/>
      <c r="N212" s="82">
        <f t="shared" si="9"/>
        <v>0</v>
      </c>
      <c r="O212" s="17"/>
      <c r="P212" s="87">
        <f t="shared" si="8"/>
        <v>0</v>
      </c>
      <c r="Q212" s="87">
        <f t="shared" si="10"/>
        <v>0</v>
      </c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76">
        <v>196.0</v>
      </c>
      <c r="F213" s="77">
        <f t="shared" si="12"/>
        <v>1</v>
      </c>
      <c r="G213" s="78" t="s">
        <v>34</v>
      </c>
      <c r="H213" s="79">
        <v>2041.0</v>
      </c>
      <c r="I213" s="80" t="str">
        <f t="shared" si="7"/>
        <v>0</v>
      </c>
      <c r="J213" s="10"/>
      <c r="K213" s="17"/>
      <c r="L213" s="81"/>
      <c r="M213" s="17"/>
      <c r="N213" s="82">
        <f t="shared" si="9"/>
        <v>0</v>
      </c>
      <c r="O213" s="17"/>
      <c r="P213" s="87">
        <f t="shared" si="8"/>
        <v>0</v>
      </c>
      <c r="Q213" s="87">
        <f t="shared" si="10"/>
        <v>0</v>
      </c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76">
        <v>197.0</v>
      </c>
      <c r="F214" s="77">
        <f t="shared" si="12"/>
        <v>1</v>
      </c>
      <c r="G214" s="78" t="s">
        <v>35</v>
      </c>
      <c r="H214" s="79">
        <v>2041.0</v>
      </c>
      <c r="I214" s="80" t="str">
        <f t="shared" si="7"/>
        <v>0</v>
      </c>
      <c r="J214" s="10"/>
      <c r="K214" s="17"/>
      <c r="L214" s="81"/>
      <c r="M214" s="17"/>
      <c r="N214" s="82">
        <f t="shared" si="9"/>
        <v>0</v>
      </c>
      <c r="O214" s="17"/>
      <c r="P214" s="87">
        <f t="shared" si="8"/>
        <v>0</v>
      </c>
      <c r="Q214" s="87">
        <f t="shared" si="10"/>
        <v>0</v>
      </c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76">
        <v>198.0</v>
      </c>
      <c r="F215" s="77">
        <f t="shared" si="12"/>
        <v>1</v>
      </c>
      <c r="G215" s="78" t="s">
        <v>36</v>
      </c>
      <c r="H215" s="79">
        <v>2041.0</v>
      </c>
      <c r="I215" s="80" t="str">
        <f t="shared" si="7"/>
        <v>0</v>
      </c>
      <c r="J215" s="10"/>
      <c r="K215" s="17"/>
      <c r="L215" s="81"/>
      <c r="M215" s="17"/>
      <c r="N215" s="82">
        <f t="shared" si="9"/>
        <v>0</v>
      </c>
      <c r="O215" s="17"/>
      <c r="P215" s="87">
        <f t="shared" si="8"/>
        <v>0</v>
      </c>
      <c r="Q215" s="87">
        <f t="shared" si="10"/>
        <v>0</v>
      </c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76">
        <v>199.0</v>
      </c>
      <c r="F216" s="77">
        <f t="shared" si="12"/>
        <v>1</v>
      </c>
      <c r="G216" s="78" t="s">
        <v>25</v>
      </c>
      <c r="H216" s="79">
        <f>IF(C216&gt;C215,H215,H215+1)</f>
        <v>2042</v>
      </c>
      <c r="I216" s="80" t="str">
        <f t="shared" si="7"/>
        <v>0</v>
      </c>
      <c r="J216" s="10"/>
      <c r="K216" s="17"/>
      <c r="L216" s="81"/>
      <c r="M216" s="17"/>
      <c r="N216" s="82">
        <f t="shared" si="9"/>
        <v>0</v>
      </c>
      <c r="O216" s="17"/>
      <c r="P216" s="87">
        <f t="shared" si="8"/>
        <v>0</v>
      </c>
      <c r="Q216" s="87">
        <f t="shared" si="10"/>
        <v>0</v>
      </c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76">
        <v>200.0</v>
      </c>
      <c r="F217" s="77">
        <f t="shared" si="12"/>
        <v>1</v>
      </c>
      <c r="G217" s="78" t="s">
        <v>26</v>
      </c>
      <c r="H217" s="79">
        <v>2042.0</v>
      </c>
      <c r="I217" s="80" t="str">
        <f t="shared" si="7"/>
        <v>0</v>
      </c>
      <c r="J217" s="10"/>
      <c r="K217" s="17"/>
      <c r="L217" s="81"/>
      <c r="M217" s="17"/>
      <c r="N217" s="82">
        <f t="shared" si="9"/>
        <v>0</v>
      </c>
      <c r="O217" s="17"/>
      <c r="P217" s="87">
        <f t="shared" si="8"/>
        <v>0</v>
      </c>
      <c r="Q217" s="87">
        <f t="shared" si="10"/>
        <v>0</v>
      </c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76">
        <v>201.0</v>
      </c>
      <c r="F218" s="77">
        <f t="shared" si="12"/>
        <v>1</v>
      </c>
      <c r="G218" s="78" t="s">
        <v>27</v>
      </c>
      <c r="H218" s="79">
        <v>2042.0</v>
      </c>
      <c r="I218" s="80" t="str">
        <f t="shared" si="7"/>
        <v>0</v>
      </c>
      <c r="J218" s="10"/>
      <c r="K218" s="17"/>
      <c r="L218" s="81"/>
      <c r="M218" s="17"/>
      <c r="N218" s="82">
        <f t="shared" si="9"/>
        <v>0</v>
      </c>
      <c r="O218" s="17"/>
      <c r="P218" s="87">
        <f t="shared" si="8"/>
        <v>0</v>
      </c>
      <c r="Q218" s="87">
        <f t="shared" si="10"/>
        <v>0</v>
      </c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76">
        <v>202.0</v>
      </c>
      <c r="F219" s="77">
        <f t="shared" si="12"/>
        <v>1</v>
      </c>
      <c r="G219" s="78" t="s">
        <v>28</v>
      </c>
      <c r="H219" s="79">
        <v>2042.0</v>
      </c>
      <c r="I219" s="80" t="str">
        <f t="shared" si="7"/>
        <v>0</v>
      </c>
      <c r="J219" s="10"/>
      <c r="K219" s="17"/>
      <c r="L219" s="81"/>
      <c r="M219" s="17"/>
      <c r="N219" s="82">
        <f t="shared" si="9"/>
        <v>0</v>
      </c>
      <c r="O219" s="17"/>
      <c r="P219" s="87">
        <f t="shared" si="8"/>
        <v>0</v>
      </c>
      <c r="Q219" s="87">
        <f t="shared" si="10"/>
        <v>0</v>
      </c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76">
        <v>203.0</v>
      </c>
      <c r="F220" s="77">
        <f t="shared" si="12"/>
        <v>1</v>
      </c>
      <c r="G220" s="78" t="s">
        <v>29</v>
      </c>
      <c r="H220" s="79">
        <v>2042.0</v>
      </c>
      <c r="I220" s="80" t="str">
        <f t="shared" si="7"/>
        <v>0</v>
      </c>
      <c r="J220" s="10"/>
      <c r="K220" s="17"/>
      <c r="L220" s="81"/>
      <c r="M220" s="17"/>
      <c r="N220" s="82">
        <f t="shared" si="9"/>
        <v>0</v>
      </c>
      <c r="O220" s="17"/>
      <c r="P220" s="87">
        <f t="shared" si="8"/>
        <v>0</v>
      </c>
      <c r="Q220" s="87">
        <f t="shared" si="10"/>
        <v>0</v>
      </c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76">
        <v>204.0</v>
      </c>
      <c r="F221" s="77">
        <f t="shared" si="12"/>
        <v>1</v>
      </c>
      <c r="G221" s="78" t="s">
        <v>30</v>
      </c>
      <c r="H221" s="79">
        <v>2042.0</v>
      </c>
      <c r="I221" s="80" t="str">
        <f t="shared" si="7"/>
        <v>0</v>
      </c>
      <c r="J221" s="10"/>
      <c r="K221" s="17"/>
      <c r="L221" s="81"/>
      <c r="M221" s="17"/>
      <c r="N221" s="82">
        <f t="shared" si="9"/>
        <v>0</v>
      </c>
      <c r="O221" s="17"/>
      <c r="P221" s="87">
        <f t="shared" si="8"/>
        <v>0</v>
      </c>
      <c r="Q221" s="87">
        <f t="shared" si="10"/>
        <v>0</v>
      </c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76">
        <v>205.0</v>
      </c>
      <c r="F222" s="77">
        <f t="shared" si="12"/>
        <v>1</v>
      </c>
      <c r="G222" s="78" t="s">
        <v>31</v>
      </c>
      <c r="H222" s="79">
        <v>2042.0</v>
      </c>
      <c r="I222" s="80" t="str">
        <f t="shared" si="7"/>
        <v>0</v>
      </c>
      <c r="J222" s="10"/>
      <c r="K222" s="17"/>
      <c r="L222" s="81"/>
      <c r="M222" s="17"/>
      <c r="N222" s="82">
        <f t="shared" si="9"/>
        <v>0</v>
      </c>
      <c r="O222" s="17"/>
      <c r="P222" s="87">
        <f t="shared" si="8"/>
        <v>0</v>
      </c>
      <c r="Q222" s="87">
        <f t="shared" si="10"/>
        <v>0</v>
      </c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76">
        <v>206.0</v>
      </c>
      <c r="F223" s="77">
        <f t="shared" si="12"/>
        <v>1</v>
      </c>
      <c r="G223" s="78" t="s">
        <v>32</v>
      </c>
      <c r="H223" s="79">
        <v>2042.0</v>
      </c>
      <c r="I223" s="80" t="str">
        <f t="shared" si="7"/>
        <v>0</v>
      </c>
      <c r="J223" s="10"/>
      <c r="K223" s="17"/>
      <c r="L223" s="81"/>
      <c r="M223" s="17"/>
      <c r="N223" s="82">
        <f t="shared" si="9"/>
        <v>0</v>
      </c>
      <c r="O223" s="17"/>
      <c r="P223" s="87">
        <f t="shared" si="8"/>
        <v>0</v>
      </c>
      <c r="Q223" s="87">
        <f t="shared" si="10"/>
        <v>0</v>
      </c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76">
        <v>207.0</v>
      </c>
      <c r="F224" s="77">
        <f t="shared" si="12"/>
        <v>1</v>
      </c>
      <c r="G224" s="78" t="s">
        <v>33</v>
      </c>
      <c r="H224" s="79">
        <v>2042.0</v>
      </c>
      <c r="I224" s="80" t="str">
        <f t="shared" si="7"/>
        <v>0</v>
      </c>
      <c r="J224" s="10"/>
      <c r="K224" s="17"/>
      <c r="L224" s="81"/>
      <c r="M224" s="17"/>
      <c r="N224" s="82">
        <f t="shared" si="9"/>
        <v>0</v>
      </c>
      <c r="O224" s="17"/>
      <c r="P224" s="87">
        <f t="shared" si="8"/>
        <v>0</v>
      </c>
      <c r="Q224" s="87">
        <f t="shared" si="10"/>
        <v>0</v>
      </c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76">
        <v>208.0</v>
      </c>
      <c r="F225" s="77">
        <f t="shared" si="12"/>
        <v>1</v>
      </c>
      <c r="G225" s="78" t="s">
        <v>34</v>
      </c>
      <c r="H225" s="79">
        <v>2042.0</v>
      </c>
      <c r="I225" s="80" t="str">
        <f t="shared" si="7"/>
        <v>0</v>
      </c>
      <c r="J225" s="10"/>
      <c r="K225" s="17"/>
      <c r="L225" s="81"/>
      <c r="M225" s="17"/>
      <c r="N225" s="82">
        <f t="shared" si="9"/>
        <v>0</v>
      </c>
      <c r="O225" s="17"/>
      <c r="P225" s="87">
        <f t="shared" si="8"/>
        <v>0</v>
      </c>
      <c r="Q225" s="87">
        <f t="shared" si="10"/>
        <v>0</v>
      </c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76">
        <v>209.0</v>
      </c>
      <c r="F226" s="77">
        <f t="shared" si="12"/>
        <v>1</v>
      </c>
      <c r="G226" s="78" t="s">
        <v>35</v>
      </c>
      <c r="H226" s="79">
        <v>2042.0</v>
      </c>
      <c r="I226" s="80" t="str">
        <f t="shared" si="7"/>
        <v>0</v>
      </c>
      <c r="J226" s="10"/>
      <c r="K226" s="17"/>
      <c r="L226" s="81"/>
      <c r="M226" s="17"/>
      <c r="N226" s="82">
        <f t="shared" si="9"/>
        <v>0</v>
      </c>
      <c r="O226" s="17"/>
      <c r="P226" s="87">
        <f t="shared" si="8"/>
        <v>0</v>
      </c>
      <c r="Q226" s="87">
        <f t="shared" si="10"/>
        <v>0</v>
      </c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76">
        <v>210.0</v>
      </c>
      <c r="F227" s="77">
        <f t="shared" si="12"/>
        <v>1</v>
      </c>
      <c r="G227" s="78" t="s">
        <v>36</v>
      </c>
      <c r="H227" s="79">
        <v>2042.0</v>
      </c>
      <c r="I227" s="80" t="str">
        <f t="shared" si="7"/>
        <v>0</v>
      </c>
      <c r="J227" s="10"/>
      <c r="K227" s="17"/>
      <c r="L227" s="81"/>
      <c r="M227" s="17"/>
      <c r="N227" s="82">
        <f t="shared" si="9"/>
        <v>0</v>
      </c>
      <c r="O227" s="17"/>
      <c r="P227" s="87">
        <f t="shared" si="8"/>
        <v>0</v>
      </c>
      <c r="Q227" s="87">
        <f t="shared" si="10"/>
        <v>0</v>
      </c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76">
        <v>211.0</v>
      </c>
      <c r="F228" s="77">
        <f t="shared" si="12"/>
        <v>1</v>
      </c>
      <c r="G228" s="78" t="s">
        <v>25</v>
      </c>
      <c r="H228" s="79">
        <f>IF(C228&gt;C227,H227,H227+1)</f>
        <v>2043</v>
      </c>
      <c r="I228" s="80" t="str">
        <f t="shared" si="7"/>
        <v>0</v>
      </c>
      <c r="J228" s="10"/>
      <c r="K228" s="17"/>
      <c r="L228" s="81"/>
      <c r="M228" s="17"/>
      <c r="N228" s="82">
        <f t="shared" si="9"/>
        <v>0</v>
      </c>
      <c r="O228" s="17"/>
      <c r="P228" s="87">
        <f t="shared" si="8"/>
        <v>0</v>
      </c>
      <c r="Q228" s="87">
        <f t="shared" si="10"/>
        <v>0</v>
      </c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76">
        <v>212.0</v>
      </c>
      <c r="F229" s="77">
        <f t="shared" si="12"/>
        <v>1</v>
      </c>
      <c r="G229" s="78" t="s">
        <v>26</v>
      </c>
      <c r="H229" s="79">
        <v>2043.0</v>
      </c>
      <c r="I229" s="80" t="str">
        <f t="shared" si="7"/>
        <v>0</v>
      </c>
      <c r="J229" s="10"/>
      <c r="K229" s="17"/>
      <c r="L229" s="81"/>
      <c r="M229" s="17"/>
      <c r="N229" s="82">
        <f t="shared" si="9"/>
        <v>0</v>
      </c>
      <c r="O229" s="17"/>
      <c r="P229" s="87">
        <f t="shared" si="8"/>
        <v>0</v>
      </c>
      <c r="Q229" s="87">
        <f t="shared" si="10"/>
        <v>0</v>
      </c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76">
        <v>213.0</v>
      </c>
      <c r="F230" s="77">
        <f t="shared" si="12"/>
        <v>1</v>
      </c>
      <c r="G230" s="78" t="s">
        <v>27</v>
      </c>
      <c r="H230" s="79">
        <v>2043.0</v>
      </c>
      <c r="I230" s="80" t="str">
        <f t="shared" si="7"/>
        <v>0</v>
      </c>
      <c r="J230" s="10"/>
      <c r="K230" s="17"/>
      <c r="L230" s="81"/>
      <c r="M230" s="17"/>
      <c r="N230" s="82">
        <f t="shared" si="9"/>
        <v>0</v>
      </c>
      <c r="O230" s="17"/>
      <c r="P230" s="87">
        <f t="shared" si="8"/>
        <v>0</v>
      </c>
      <c r="Q230" s="87">
        <f t="shared" si="10"/>
        <v>0</v>
      </c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76">
        <v>214.0</v>
      </c>
      <c r="F231" s="77">
        <f t="shared" si="12"/>
        <v>1</v>
      </c>
      <c r="G231" s="78" t="s">
        <v>28</v>
      </c>
      <c r="H231" s="79">
        <v>2043.0</v>
      </c>
      <c r="I231" s="80" t="str">
        <f t="shared" si="7"/>
        <v>0</v>
      </c>
      <c r="J231" s="10"/>
      <c r="K231" s="17"/>
      <c r="L231" s="81"/>
      <c r="M231" s="17"/>
      <c r="N231" s="82">
        <f t="shared" si="9"/>
        <v>0</v>
      </c>
      <c r="O231" s="17"/>
      <c r="P231" s="87">
        <f t="shared" si="8"/>
        <v>0</v>
      </c>
      <c r="Q231" s="87">
        <f t="shared" si="10"/>
        <v>0</v>
      </c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76">
        <v>215.0</v>
      </c>
      <c r="F232" s="77">
        <f t="shared" si="12"/>
        <v>1</v>
      </c>
      <c r="G232" s="78" t="s">
        <v>29</v>
      </c>
      <c r="H232" s="79">
        <v>2043.0</v>
      </c>
      <c r="I232" s="80" t="str">
        <f t="shared" si="7"/>
        <v>0</v>
      </c>
      <c r="J232" s="10"/>
      <c r="K232" s="17"/>
      <c r="L232" s="81"/>
      <c r="M232" s="17"/>
      <c r="N232" s="82">
        <f t="shared" si="9"/>
        <v>0</v>
      </c>
      <c r="O232" s="17"/>
      <c r="P232" s="87">
        <f t="shared" si="8"/>
        <v>0</v>
      </c>
      <c r="Q232" s="87">
        <f t="shared" si="10"/>
        <v>0</v>
      </c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76">
        <v>216.0</v>
      </c>
      <c r="F233" s="77">
        <f t="shared" si="12"/>
        <v>1</v>
      </c>
      <c r="G233" s="78" t="s">
        <v>30</v>
      </c>
      <c r="H233" s="79">
        <v>2043.0</v>
      </c>
      <c r="I233" s="80" t="str">
        <f t="shared" si="7"/>
        <v>0</v>
      </c>
      <c r="J233" s="10"/>
      <c r="K233" s="17"/>
      <c r="L233" s="81"/>
      <c r="M233" s="17"/>
      <c r="N233" s="82">
        <f t="shared" si="9"/>
        <v>0</v>
      </c>
      <c r="O233" s="17"/>
      <c r="P233" s="87">
        <f t="shared" si="8"/>
        <v>0</v>
      </c>
      <c r="Q233" s="87">
        <f t="shared" si="10"/>
        <v>0</v>
      </c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76">
        <v>217.0</v>
      </c>
      <c r="F234" s="77">
        <f t="shared" si="12"/>
        <v>1</v>
      </c>
      <c r="G234" s="78" t="s">
        <v>31</v>
      </c>
      <c r="H234" s="79">
        <v>2043.0</v>
      </c>
      <c r="I234" s="80" t="str">
        <f t="shared" si="7"/>
        <v>0</v>
      </c>
      <c r="J234" s="10"/>
      <c r="K234" s="17"/>
      <c r="L234" s="81"/>
      <c r="M234" s="17"/>
      <c r="N234" s="82">
        <f t="shared" si="9"/>
        <v>0</v>
      </c>
      <c r="O234" s="17"/>
      <c r="P234" s="87">
        <f t="shared" si="8"/>
        <v>0</v>
      </c>
      <c r="Q234" s="87">
        <f t="shared" si="10"/>
        <v>0</v>
      </c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76">
        <v>218.0</v>
      </c>
      <c r="F235" s="77">
        <f t="shared" si="12"/>
        <v>1</v>
      </c>
      <c r="G235" s="78" t="s">
        <v>32</v>
      </c>
      <c r="H235" s="79">
        <v>2043.0</v>
      </c>
      <c r="I235" s="80" t="str">
        <f t="shared" si="7"/>
        <v>0</v>
      </c>
      <c r="J235" s="10"/>
      <c r="K235" s="17"/>
      <c r="L235" s="81"/>
      <c r="M235" s="17"/>
      <c r="N235" s="82">
        <f t="shared" si="9"/>
        <v>0</v>
      </c>
      <c r="O235" s="17"/>
      <c r="P235" s="87">
        <f t="shared" si="8"/>
        <v>0</v>
      </c>
      <c r="Q235" s="87">
        <f t="shared" si="10"/>
        <v>0</v>
      </c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76">
        <v>219.0</v>
      </c>
      <c r="F236" s="77">
        <f t="shared" si="12"/>
        <v>1</v>
      </c>
      <c r="G236" s="78" t="s">
        <v>33</v>
      </c>
      <c r="H236" s="79">
        <v>2043.0</v>
      </c>
      <c r="I236" s="80" t="str">
        <f t="shared" si="7"/>
        <v>0</v>
      </c>
      <c r="J236" s="10"/>
      <c r="K236" s="17"/>
      <c r="L236" s="81"/>
      <c r="M236" s="17"/>
      <c r="N236" s="82">
        <f t="shared" si="9"/>
        <v>0</v>
      </c>
      <c r="O236" s="17"/>
      <c r="P236" s="87">
        <f t="shared" si="8"/>
        <v>0</v>
      </c>
      <c r="Q236" s="87">
        <f t="shared" si="10"/>
        <v>0</v>
      </c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76">
        <v>220.0</v>
      </c>
      <c r="F237" s="77">
        <f t="shared" si="12"/>
        <v>1</v>
      </c>
      <c r="G237" s="78" t="s">
        <v>34</v>
      </c>
      <c r="H237" s="79">
        <v>2043.0</v>
      </c>
      <c r="I237" s="80" t="str">
        <f t="shared" si="7"/>
        <v>0</v>
      </c>
      <c r="J237" s="10"/>
      <c r="K237" s="17"/>
      <c r="L237" s="81"/>
      <c r="M237" s="17"/>
      <c r="N237" s="82">
        <f t="shared" si="9"/>
        <v>0</v>
      </c>
      <c r="O237" s="17"/>
      <c r="P237" s="87">
        <f t="shared" si="8"/>
        <v>0</v>
      </c>
      <c r="Q237" s="87">
        <f t="shared" si="10"/>
        <v>0</v>
      </c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76">
        <v>221.0</v>
      </c>
      <c r="F238" s="77">
        <f t="shared" si="12"/>
        <v>1</v>
      </c>
      <c r="G238" s="78" t="s">
        <v>35</v>
      </c>
      <c r="H238" s="79">
        <v>2043.0</v>
      </c>
      <c r="I238" s="80" t="str">
        <f t="shared" si="7"/>
        <v>0</v>
      </c>
      <c r="J238" s="10"/>
      <c r="K238" s="17"/>
      <c r="L238" s="81"/>
      <c r="M238" s="17"/>
      <c r="N238" s="82">
        <f t="shared" si="9"/>
        <v>0</v>
      </c>
      <c r="O238" s="17"/>
      <c r="P238" s="87">
        <f t="shared" si="8"/>
        <v>0</v>
      </c>
      <c r="Q238" s="87">
        <f t="shared" si="10"/>
        <v>0</v>
      </c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76">
        <v>222.0</v>
      </c>
      <c r="F239" s="77">
        <f t="shared" si="12"/>
        <v>1</v>
      </c>
      <c r="G239" s="78" t="s">
        <v>36</v>
      </c>
      <c r="H239" s="79">
        <v>2043.0</v>
      </c>
      <c r="I239" s="80" t="str">
        <f t="shared" si="7"/>
        <v>0</v>
      </c>
      <c r="J239" s="10"/>
      <c r="K239" s="17"/>
      <c r="L239" s="81"/>
      <c r="M239" s="17"/>
      <c r="N239" s="82">
        <f t="shared" si="9"/>
        <v>0</v>
      </c>
      <c r="O239" s="17"/>
      <c r="P239" s="87">
        <f t="shared" si="8"/>
        <v>0</v>
      </c>
      <c r="Q239" s="87">
        <f t="shared" si="10"/>
        <v>0</v>
      </c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76">
        <v>223.0</v>
      </c>
      <c r="F240" s="77">
        <f t="shared" si="12"/>
        <v>1</v>
      </c>
      <c r="G240" s="78" t="s">
        <v>25</v>
      </c>
      <c r="H240" s="79">
        <f>IF(C240&gt;C239,H239,H239+1)</f>
        <v>2044</v>
      </c>
      <c r="I240" s="80" t="str">
        <f t="shared" si="7"/>
        <v>0</v>
      </c>
      <c r="J240" s="10"/>
      <c r="K240" s="17"/>
      <c r="L240" s="81"/>
      <c r="M240" s="17"/>
      <c r="N240" s="82">
        <f t="shared" si="9"/>
        <v>0</v>
      </c>
      <c r="O240" s="17"/>
      <c r="P240" s="87">
        <f t="shared" si="8"/>
        <v>0</v>
      </c>
      <c r="Q240" s="87">
        <f t="shared" si="10"/>
        <v>0</v>
      </c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76">
        <v>224.0</v>
      </c>
      <c r="F241" s="77">
        <f t="shared" si="12"/>
        <v>1</v>
      </c>
      <c r="G241" s="78" t="s">
        <v>26</v>
      </c>
      <c r="H241" s="79">
        <v>2044.0</v>
      </c>
      <c r="I241" s="80" t="str">
        <f t="shared" si="7"/>
        <v>0</v>
      </c>
      <c r="J241" s="10"/>
      <c r="K241" s="17"/>
      <c r="L241" s="81"/>
      <c r="M241" s="17"/>
      <c r="N241" s="82">
        <f t="shared" si="9"/>
        <v>0</v>
      </c>
      <c r="O241" s="17"/>
      <c r="P241" s="87">
        <f t="shared" si="8"/>
        <v>0</v>
      </c>
      <c r="Q241" s="87">
        <f t="shared" si="10"/>
        <v>0</v>
      </c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76">
        <v>225.0</v>
      </c>
      <c r="F242" s="77">
        <f t="shared" si="12"/>
        <v>1</v>
      </c>
      <c r="G242" s="78" t="s">
        <v>27</v>
      </c>
      <c r="H242" s="79">
        <v>2044.0</v>
      </c>
      <c r="I242" s="80" t="str">
        <f t="shared" si="7"/>
        <v>0</v>
      </c>
      <c r="J242" s="10"/>
      <c r="K242" s="17"/>
      <c r="L242" s="81"/>
      <c r="M242" s="17"/>
      <c r="N242" s="82">
        <f t="shared" si="9"/>
        <v>0</v>
      </c>
      <c r="O242" s="17"/>
      <c r="P242" s="87">
        <f t="shared" si="8"/>
        <v>0</v>
      </c>
      <c r="Q242" s="87">
        <f t="shared" si="10"/>
        <v>0</v>
      </c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76">
        <v>226.0</v>
      </c>
      <c r="F243" s="77">
        <f t="shared" si="12"/>
        <v>1</v>
      </c>
      <c r="G243" s="78" t="s">
        <v>28</v>
      </c>
      <c r="H243" s="79">
        <v>2044.0</v>
      </c>
      <c r="I243" s="80" t="str">
        <f t="shared" si="7"/>
        <v>0</v>
      </c>
      <c r="J243" s="10"/>
      <c r="K243" s="17"/>
      <c r="L243" s="81"/>
      <c r="M243" s="17"/>
      <c r="N243" s="82">
        <f t="shared" si="9"/>
        <v>0</v>
      </c>
      <c r="O243" s="17"/>
      <c r="P243" s="87">
        <f t="shared" si="8"/>
        <v>0</v>
      </c>
      <c r="Q243" s="87">
        <f t="shared" si="10"/>
        <v>0</v>
      </c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76">
        <v>227.0</v>
      </c>
      <c r="F244" s="77">
        <f t="shared" si="12"/>
        <v>1</v>
      </c>
      <c r="G244" s="78" t="s">
        <v>29</v>
      </c>
      <c r="H244" s="79">
        <v>2044.0</v>
      </c>
      <c r="I244" s="80" t="str">
        <f t="shared" si="7"/>
        <v>0</v>
      </c>
      <c r="J244" s="10"/>
      <c r="K244" s="17"/>
      <c r="L244" s="81"/>
      <c r="M244" s="17"/>
      <c r="N244" s="82">
        <f t="shared" si="9"/>
        <v>0</v>
      </c>
      <c r="O244" s="17"/>
      <c r="P244" s="87">
        <f t="shared" si="8"/>
        <v>0</v>
      </c>
      <c r="Q244" s="87">
        <f t="shared" si="10"/>
        <v>0</v>
      </c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76">
        <v>228.0</v>
      </c>
      <c r="F245" s="77">
        <f t="shared" si="12"/>
        <v>1</v>
      </c>
      <c r="G245" s="78" t="s">
        <v>30</v>
      </c>
      <c r="H245" s="79">
        <v>2044.0</v>
      </c>
      <c r="I245" s="80" t="str">
        <f t="shared" si="7"/>
        <v>0</v>
      </c>
      <c r="J245" s="10"/>
      <c r="K245" s="17"/>
      <c r="L245" s="81"/>
      <c r="M245" s="17"/>
      <c r="N245" s="82">
        <f t="shared" si="9"/>
        <v>0</v>
      </c>
      <c r="O245" s="17"/>
      <c r="P245" s="87">
        <f t="shared" si="8"/>
        <v>0</v>
      </c>
      <c r="Q245" s="87">
        <f t="shared" si="10"/>
        <v>0</v>
      </c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76">
        <v>229.0</v>
      </c>
      <c r="F246" s="77">
        <f t="shared" si="12"/>
        <v>1</v>
      </c>
      <c r="G246" s="78" t="s">
        <v>31</v>
      </c>
      <c r="H246" s="79">
        <v>2045.0</v>
      </c>
      <c r="I246" s="80" t="str">
        <f t="shared" si="7"/>
        <v>0</v>
      </c>
      <c r="J246" s="10"/>
      <c r="K246" s="17"/>
      <c r="L246" s="81"/>
      <c r="M246" s="17"/>
      <c r="N246" s="82">
        <f t="shared" si="9"/>
        <v>0</v>
      </c>
      <c r="O246" s="17"/>
      <c r="P246" s="87">
        <f t="shared" si="8"/>
        <v>0</v>
      </c>
      <c r="Q246" s="87">
        <f t="shared" si="10"/>
        <v>0</v>
      </c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76">
        <v>230.0</v>
      </c>
      <c r="F247" s="77">
        <f t="shared" si="12"/>
        <v>1</v>
      </c>
      <c r="G247" s="78" t="s">
        <v>32</v>
      </c>
      <c r="H247" s="79">
        <v>2046.0</v>
      </c>
      <c r="I247" s="80" t="str">
        <f t="shared" si="7"/>
        <v>0</v>
      </c>
      <c r="J247" s="10"/>
      <c r="K247" s="17"/>
      <c r="L247" s="81"/>
      <c r="M247" s="17"/>
      <c r="N247" s="82">
        <f t="shared" si="9"/>
        <v>0</v>
      </c>
      <c r="O247" s="17"/>
      <c r="P247" s="87">
        <f t="shared" si="8"/>
        <v>0</v>
      </c>
      <c r="Q247" s="87">
        <f t="shared" si="10"/>
        <v>0</v>
      </c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76">
        <v>231.0</v>
      </c>
      <c r="F248" s="77">
        <f t="shared" si="12"/>
        <v>1</v>
      </c>
      <c r="G248" s="78" t="s">
        <v>33</v>
      </c>
      <c r="H248" s="79">
        <v>2047.0</v>
      </c>
      <c r="I248" s="80" t="str">
        <f t="shared" si="7"/>
        <v>0</v>
      </c>
      <c r="J248" s="10"/>
      <c r="K248" s="17"/>
      <c r="L248" s="81"/>
      <c r="M248" s="17"/>
      <c r="N248" s="82">
        <f t="shared" si="9"/>
        <v>0</v>
      </c>
      <c r="O248" s="17"/>
      <c r="P248" s="87">
        <f t="shared" si="8"/>
        <v>0</v>
      </c>
      <c r="Q248" s="87">
        <f t="shared" si="10"/>
        <v>0</v>
      </c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2"/>
      <c r="F249" s="10"/>
      <c r="G249" s="10"/>
      <c r="H249" s="10"/>
      <c r="I249" s="10"/>
      <c r="J249" s="10"/>
      <c r="K249" s="17"/>
      <c r="L249" s="82">
        <f>SUM(L19:L78)</f>
        <v>0</v>
      </c>
      <c r="M249" s="17"/>
      <c r="N249" s="82">
        <f>SUM(N19:N248)</f>
        <v>3786000</v>
      </c>
      <c r="O249" s="17"/>
      <c r="P249" s="83">
        <f t="shared" ref="P249:Q249" si="13">SUM(P19:P248)</f>
        <v>1257822</v>
      </c>
      <c r="Q249" s="83">
        <f t="shared" si="13"/>
        <v>5043822</v>
      </c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5"/>
      <c r="B368" s="5"/>
      <c r="C368" s="5"/>
      <c r="D368" s="5"/>
      <c r="E368" s="93"/>
      <c r="F368" s="94"/>
      <c r="G368" s="94"/>
      <c r="H368" s="94"/>
      <c r="I368" s="94"/>
      <c r="J368" s="94"/>
      <c r="K368" s="94"/>
      <c r="L368" s="94"/>
      <c r="M368" s="95"/>
      <c r="N368" s="95"/>
      <c r="O368" s="2"/>
      <c r="P368" s="2"/>
      <c r="Q368" s="96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5"/>
      <c r="B369" s="5"/>
      <c r="C369" s="5"/>
      <c r="D369" s="5"/>
      <c r="E369" s="93"/>
      <c r="F369" s="94"/>
      <c r="G369" s="94"/>
      <c r="H369" s="94"/>
      <c r="I369" s="94"/>
      <c r="J369" s="94"/>
      <c r="K369" s="94"/>
      <c r="L369" s="94"/>
      <c r="M369" s="95"/>
      <c r="N369" s="95"/>
      <c r="O369" s="2"/>
      <c r="P369" s="2"/>
      <c r="Q369" s="96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5"/>
      <c r="B370" s="5"/>
      <c r="C370" s="5"/>
      <c r="D370" s="5"/>
      <c r="E370" s="93"/>
      <c r="F370" s="94"/>
      <c r="G370" s="94"/>
      <c r="H370" s="94"/>
      <c r="I370" s="94"/>
      <c r="J370" s="94"/>
      <c r="K370" s="94"/>
      <c r="L370" s="94"/>
      <c r="M370" s="95"/>
      <c r="N370" s="95"/>
      <c r="O370" s="2"/>
      <c r="P370" s="2"/>
      <c r="Q370" s="96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5"/>
      <c r="B371" s="5"/>
      <c r="C371" s="5"/>
      <c r="D371" s="5"/>
      <c r="E371" s="93"/>
      <c r="F371" s="94"/>
      <c r="G371" s="94"/>
      <c r="H371" s="94"/>
      <c r="I371" s="94"/>
      <c r="J371" s="94"/>
      <c r="K371" s="94"/>
      <c r="L371" s="94"/>
      <c r="M371" s="95"/>
      <c r="N371" s="95"/>
      <c r="O371" s="2"/>
      <c r="P371" s="2"/>
      <c r="Q371" s="96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5"/>
      <c r="B372" s="5"/>
      <c r="C372" s="5"/>
      <c r="D372" s="5"/>
      <c r="E372" s="93"/>
      <c r="F372" s="94"/>
      <c r="G372" s="94"/>
      <c r="H372" s="94"/>
      <c r="I372" s="94"/>
      <c r="J372" s="94"/>
      <c r="K372" s="94"/>
      <c r="L372" s="94"/>
      <c r="M372" s="95"/>
      <c r="N372" s="95"/>
      <c r="O372" s="2"/>
      <c r="P372" s="2"/>
      <c r="Q372" s="96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5"/>
      <c r="B373" s="5"/>
      <c r="C373" s="5"/>
      <c r="D373" s="5"/>
      <c r="E373" s="93"/>
      <c r="F373" s="94"/>
      <c r="G373" s="94"/>
      <c r="H373" s="94"/>
      <c r="I373" s="94"/>
      <c r="J373" s="94"/>
      <c r="K373" s="94"/>
      <c r="L373" s="94"/>
      <c r="M373" s="95"/>
      <c r="N373" s="95"/>
      <c r="O373" s="2"/>
      <c r="P373" s="2"/>
      <c r="Q373" s="96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5"/>
      <c r="B374" s="5"/>
      <c r="C374" s="5"/>
      <c r="D374" s="5"/>
      <c r="E374" s="93"/>
      <c r="F374" s="94"/>
      <c r="G374" s="94"/>
      <c r="H374" s="94"/>
      <c r="I374" s="94"/>
      <c r="J374" s="94"/>
      <c r="K374" s="94"/>
      <c r="L374" s="94"/>
      <c r="M374" s="95"/>
      <c r="N374" s="95"/>
      <c r="O374" s="2"/>
      <c r="P374" s="2"/>
      <c r="Q374" s="96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5"/>
      <c r="B375" s="5"/>
      <c r="C375" s="5"/>
      <c r="D375" s="5"/>
      <c r="E375" s="93"/>
      <c r="F375" s="94"/>
      <c r="G375" s="94"/>
      <c r="H375" s="94"/>
      <c r="I375" s="94"/>
      <c r="J375" s="94"/>
      <c r="K375" s="94"/>
      <c r="L375" s="94"/>
      <c r="M375" s="95"/>
      <c r="N375" s="95"/>
      <c r="O375" s="2"/>
      <c r="P375" s="2"/>
      <c r="Q375" s="96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5"/>
      <c r="B376" s="5"/>
      <c r="C376" s="5"/>
      <c r="D376" s="5"/>
      <c r="E376" s="93"/>
      <c r="F376" s="94"/>
      <c r="G376" s="94"/>
      <c r="H376" s="94"/>
      <c r="I376" s="94"/>
      <c r="J376" s="94"/>
      <c r="K376" s="94"/>
      <c r="L376" s="94"/>
      <c r="M376" s="95"/>
      <c r="N376" s="95"/>
      <c r="O376" s="2"/>
      <c r="P376" s="2"/>
      <c r="Q376" s="96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5"/>
      <c r="B377" s="5"/>
      <c r="C377" s="5"/>
      <c r="D377" s="5"/>
      <c r="E377" s="93"/>
      <c r="F377" s="94"/>
      <c r="G377" s="94"/>
      <c r="H377" s="94"/>
      <c r="I377" s="94"/>
      <c r="J377" s="94"/>
      <c r="K377" s="94"/>
      <c r="L377" s="94"/>
      <c r="M377" s="95"/>
      <c r="N377" s="95"/>
      <c r="O377" s="2"/>
      <c r="P377" s="2"/>
      <c r="Q377" s="96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5"/>
      <c r="B378" s="5"/>
      <c r="C378" s="5"/>
      <c r="D378" s="5"/>
      <c r="E378" s="93"/>
      <c r="F378" s="94"/>
      <c r="G378" s="94"/>
      <c r="H378" s="94"/>
      <c r="I378" s="94"/>
      <c r="J378" s="94"/>
      <c r="K378" s="94"/>
      <c r="L378" s="94"/>
      <c r="M378" s="95"/>
      <c r="N378" s="95"/>
      <c r="O378" s="2"/>
      <c r="P378" s="2"/>
      <c r="Q378" s="96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5"/>
      <c r="B379" s="5"/>
      <c r="C379" s="5"/>
      <c r="D379" s="5"/>
      <c r="E379" s="93"/>
      <c r="F379" s="94"/>
      <c r="G379" s="94"/>
      <c r="H379" s="94"/>
      <c r="I379" s="94"/>
      <c r="J379" s="94"/>
      <c r="K379" s="94"/>
      <c r="L379" s="94"/>
      <c r="M379" s="95"/>
      <c r="N379" s="95"/>
      <c r="O379" s="2"/>
      <c r="P379" s="2"/>
      <c r="Q379" s="96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5"/>
      <c r="B380" s="5"/>
      <c r="C380" s="5"/>
      <c r="D380" s="5"/>
      <c r="E380" s="93"/>
      <c r="F380" s="94"/>
      <c r="G380" s="94"/>
      <c r="H380" s="94"/>
      <c r="I380" s="94"/>
      <c r="J380" s="94"/>
      <c r="K380" s="94"/>
      <c r="L380" s="94"/>
      <c r="M380" s="95"/>
      <c r="N380" s="95"/>
      <c r="O380" s="2"/>
      <c r="P380" s="2"/>
      <c r="Q380" s="96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5"/>
      <c r="B381" s="5"/>
      <c r="C381" s="5"/>
      <c r="D381" s="5"/>
      <c r="E381" s="93"/>
      <c r="F381" s="94"/>
      <c r="G381" s="94"/>
      <c r="H381" s="94"/>
      <c r="I381" s="94"/>
      <c r="J381" s="94"/>
      <c r="K381" s="94"/>
      <c r="L381" s="94"/>
      <c r="M381" s="95"/>
      <c r="N381" s="95"/>
      <c r="O381" s="2"/>
      <c r="P381" s="2"/>
      <c r="Q381" s="96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5"/>
      <c r="B382" s="5"/>
      <c r="C382" s="5"/>
      <c r="D382" s="5"/>
      <c r="E382" s="93"/>
      <c r="F382" s="94"/>
      <c r="G382" s="94"/>
      <c r="H382" s="94"/>
      <c r="I382" s="94"/>
      <c r="J382" s="94"/>
      <c r="K382" s="94"/>
      <c r="L382" s="94"/>
      <c r="M382" s="95"/>
      <c r="N382" s="95"/>
      <c r="O382" s="2"/>
      <c r="P382" s="2"/>
      <c r="Q382" s="96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5"/>
      <c r="B383" s="5"/>
      <c r="C383" s="5"/>
      <c r="D383" s="5"/>
      <c r="E383" s="93"/>
      <c r="F383" s="94"/>
      <c r="G383" s="94"/>
      <c r="H383" s="94"/>
      <c r="I383" s="94"/>
      <c r="J383" s="94"/>
      <c r="K383" s="94"/>
      <c r="L383" s="94"/>
      <c r="M383" s="95"/>
      <c r="N383" s="95"/>
      <c r="O383" s="2"/>
      <c r="P383" s="2"/>
      <c r="Q383" s="96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5"/>
      <c r="B384" s="5"/>
      <c r="C384" s="5"/>
      <c r="D384" s="5"/>
      <c r="E384" s="93"/>
      <c r="F384" s="94"/>
      <c r="G384" s="94"/>
      <c r="H384" s="94"/>
      <c r="I384" s="94"/>
      <c r="J384" s="94"/>
      <c r="K384" s="94"/>
      <c r="L384" s="94"/>
      <c r="M384" s="95"/>
      <c r="N384" s="95"/>
      <c r="O384" s="2"/>
      <c r="P384" s="2"/>
      <c r="Q384" s="96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5"/>
      <c r="B385" s="5"/>
      <c r="C385" s="5"/>
      <c r="D385" s="5"/>
      <c r="E385" s="93"/>
      <c r="F385" s="94"/>
      <c r="G385" s="94"/>
      <c r="H385" s="94"/>
      <c r="I385" s="94"/>
      <c r="J385" s="94"/>
      <c r="K385" s="94"/>
      <c r="L385" s="94"/>
      <c r="M385" s="95"/>
      <c r="N385" s="95"/>
      <c r="O385" s="2"/>
      <c r="P385" s="2"/>
      <c r="Q385" s="96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5"/>
      <c r="B386" s="5"/>
      <c r="C386" s="5"/>
      <c r="D386" s="5"/>
      <c r="E386" s="93"/>
      <c r="F386" s="94"/>
      <c r="G386" s="94"/>
      <c r="H386" s="94"/>
      <c r="I386" s="94"/>
      <c r="J386" s="94"/>
      <c r="K386" s="94"/>
      <c r="L386" s="94"/>
      <c r="M386" s="95"/>
      <c r="N386" s="95"/>
      <c r="O386" s="2"/>
      <c r="P386" s="2"/>
      <c r="Q386" s="96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5"/>
      <c r="B387" s="5"/>
      <c r="C387" s="5"/>
      <c r="D387" s="5"/>
      <c r="E387" s="93"/>
      <c r="F387" s="94"/>
      <c r="G387" s="94"/>
      <c r="H387" s="94"/>
      <c r="I387" s="94"/>
      <c r="J387" s="94"/>
      <c r="K387" s="94"/>
      <c r="L387" s="94"/>
      <c r="M387" s="95"/>
      <c r="N387" s="95"/>
      <c r="O387" s="2"/>
      <c r="P387" s="2"/>
      <c r="Q387" s="96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5"/>
      <c r="B388" s="5"/>
      <c r="C388" s="5"/>
      <c r="D388" s="5"/>
      <c r="E388" s="93"/>
      <c r="F388" s="94"/>
      <c r="G388" s="94"/>
      <c r="H388" s="94"/>
      <c r="I388" s="94"/>
      <c r="J388" s="94"/>
      <c r="K388" s="94"/>
      <c r="L388" s="94"/>
      <c r="M388" s="95"/>
      <c r="N388" s="95"/>
      <c r="O388" s="2"/>
      <c r="P388" s="2"/>
      <c r="Q388" s="96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5"/>
      <c r="B389" s="5"/>
      <c r="C389" s="5"/>
      <c r="D389" s="5"/>
      <c r="E389" s="93"/>
      <c r="F389" s="94"/>
      <c r="G389" s="94"/>
      <c r="H389" s="94"/>
      <c r="I389" s="94"/>
      <c r="J389" s="94"/>
      <c r="K389" s="94"/>
      <c r="L389" s="94"/>
      <c r="M389" s="95"/>
      <c r="N389" s="95"/>
      <c r="O389" s="2"/>
      <c r="P389" s="2"/>
      <c r="Q389" s="96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5"/>
      <c r="B390" s="5"/>
      <c r="C390" s="5"/>
      <c r="D390" s="5"/>
      <c r="E390" s="93"/>
      <c r="F390" s="94"/>
      <c r="G390" s="94"/>
      <c r="H390" s="94"/>
      <c r="I390" s="94"/>
      <c r="J390" s="94"/>
      <c r="K390" s="94"/>
      <c r="L390" s="94"/>
      <c r="M390" s="95"/>
      <c r="N390" s="95"/>
      <c r="O390" s="2"/>
      <c r="P390" s="2"/>
      <c r="Q390" s="96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5"/>
      <c r="B391" s="5"/>
      <c r="C391" s="5"/>
      <c r="D391" s="5"/>
      <c r="E391" s="93"/>
      <c r="F391" s="94"/>
      <c r="G391" s="94"/>
      <c r="H391" s="94"/>
      <c r="I391" s="94"/>
      <c r="J391" s="94"/>
      <c r="K391" s="94"/>
      <c r="L391" s="94"/>
      <c r="M391" s="95"/>
      <c r="N391" s="95"/>
      <c r="O391" s="2"/>
      <c r="P391" s="2"/>
      <c r="Q391" s="96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5"/>
      <c r="B392" s="5"/>
      <c r="C392" s="5"/>
      <c r="D392" s="5"/>
      <c r="E392" s="93"/>
      <c r="F392" s="94"/>
      <c r="G392" s="94"/>
      <c r="H392" s="94"/>
      <c r="I392" s="94"/>
      <c r="J392" s="94"/>
      <c r="K392" s="94"/>
      <c r="L392" s="94"/>
      <c r="M392" s="95"/>
      <c r="N392" s="95"/>
      <c r="O392" s="2"/>
      <c r="P392" s="2"/>
      <c r="Q392" s="96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5"/>
      <c r="B393" s="5"/>
      <c r="C393" s="5"/>
      <c r="D393" s="5"/>
      <c r="E393" s="93"/>
      <c r="F393" s="94"/>
      <c r="G393" s="94"/>
      <c r="H393" s="94"/>
      <c r="I393" s="94"/>
      <c r="J393" s="94"/>
      <c r="K393" s="94"/>
      <c r="L393" s="94"/>
      <c r="M393" s="95"/>
      <c r="N393" s="95"/>
      <c r="O393" s="2"/>
      <c r="P393" s="2"/>
      <c r="Q393" s="96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5"/>
      <c r="B394" s="5"/>
      <c r="C394" s="5"/>
      <c r="D394" s="5"/>
      <c r="E394" s="93"/>
      <c r="F394" s="94"/>
      <c r="G394" s="94"/>
      <c r="H394" s="94"/>
      <c r="I394" s="94"/>
      <c r="J394" s="94"/>
      <c r="K394" s="94"/>
      <c r="L394" s="94"/>
      <c r="M394" s="95"/>
      <c r="N394" s="95"/>
      <c r="O394" s="2"/>
      <c r="P394" s="2"/>
      <c r="Q394" s="96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5"/>
      <c r="B395" s="5"/>
      <c r="C395" s="5"/>
      <c r="D395" s="5"/>
      <c r="E395" s="93"/>
      <c r="F395" s="94"/>
      <c r="G395" s="94"/>
      <c r="H395" s="94"/>
      <c r="I395" s="94"/>
      <c r="J395" s="94"/>
      <c r="K395" s="94"/>
      <c r="L395" s="94"/>
      <c r="M395" s="95"/>
      <c r="N395" s="95"/>
      <c r="O395" s="2"/>
      <c r="P395" s="2"/>
      <c r="Q395" s="96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5"/>
      <c r="B396" s="5"/>
      <c r="C396" s="5"/>
      <c r="D396" s="5"/>
      <c r="E396" s="93"/>
      <c r="F396" s="94"/>
      <c r="G396" s="94"/>
      <c r="H396" s="94"/>
      <c r="I396" s="94"/>
      <c r="J396" s="94"/>
      <c r="K396" s="94"/>
      <c r="L396" s="94"/>
      <c r="M396" s="95"/>
      <c r="N396" s="95"/>
      <c r="O396" s="2"/>
      <c r="P396" s="2"/>
      <c r="Q396" s="96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5"/>
      <c r="B397" s="5"/>
      <c r="C397" s="5"/>
      <c r="D397" s="5"/>
      <c r="E397" s="93"/>
      <c r="F397" s="94"/>
      <c r="G397" s="94"/>
      <c r="H397" s="94"/>
      <c r="I397" s="94"/>
      <c r="J397" s="94"/>
      <c r="K397" s="94"/>
      <c r="L397" s="94"/>
      <c r="M397" s="95"/>
      <c r="N397" s="95"/>
      <c r="O397" s="2"/>
      <c r="P397" s="2"/>
      <c r="Q397" s="96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5"/>
      <c r="B398" s="5"/>
      <c r="C398" s="5"/>
      <c r="D398" s="5"/>
      <c r="E398" s="93"/>
      <c r="F398" s="94"/>
      <c r="G398" s="94"/>
      <c r="H398" s="94"/>
      <c r="I398" s="94"/>
      <c r="J398" s="94"/>
      <c r="K398" s="94"/>
      <c r="L398" s="94"/>
      <c r="M398" s="95"/>
      <c r="N398" s="95"/>
      <c r="O398" s="2"/>
      <c r="P398" s="2"/>
      <c r="Q398" s="96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5"/>
      <c r="B399" s="5"/>
      <c r="C399" s="5"/>
      <c r="D399" s="5"/>
      <c r="E399" s="93"/>
      <c r="F399" s="94"/>
      <c r="G399" s="94"/>
      <c r="H399" s="94"/>
      <c r="I399" s="94"/>
      <c r="J399" s="94"/>
      <c r="K399" s="94"/>
      <c r="L399" s="94"/>
      <c r="M399" s="95"/>
      <c r="N399" s="95"/>
      <c r="O399" s="2"/>
      <c r="P399" s="2"/>
      <c r="Q399" s="96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5"/>
      <c r="B400" s="5"/>
      <c r="C400" s="5"/>
      <c r="D400" s="5"/>
      <c r="E400" s="93"/>
      <c r="F400" s="94"/>
      <c r="G400" s="94"/>
      <c r="H400" s="94"/>
      <c r="I400" s="94"/>
      <c r="J400" s="94"/>
      <c r="K400" s="94"/>
      <c r="L400" s="94"/>
      <c r="M400" s="95"/>
      <c r="N400" s="95"/>
      <c r="O400" s="2"/>
      <c r="P400" s="2"/>
      <c r="Q400" s="96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5"/>
      <c r="B401" s="5"/>
      <c r="C401" s="5"/>
      <c r="D401" s="5"/>
      <c r="E401" s="93"/>
      <c r="F401" s="94"/>
      <c r="G401" s="94"/>
      <c r="H401" s="94"/>
      <c r="I401" s="94"/>
      <c r="J401" s="94"/>
      <c r="K401" s="94"/>
      <c r="L401" s="94"/>
      <c r="M401" s="95"/>
      <c r="N401" s="95"/>
      <c r="O401" s="2"/>
      <c r="P401" s="2"/>
      <c r="Q401" s="96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5"/>
      <c r="B402" s="5"/>
      <c r="C402" s="5"/>
      <c r="D402" s="5"/>
      <c r="E402" s="93"/>
      <c r="F402" s="94"/>
      <c r="G402" s="94"/>
      <c r="H402" s="94"/>
      <c r="I402" s="94"/>
      <c r="J402" s="94"/>
      <c r="K402" s="94"/>
      <c r="L402" s="94"/>
      <c r="M402" s="95"/>
      <c r="N402" s="95"/>
      <c r="O402" s="2"/>
      <c r="P402" s="2"/>
      <c r="Q402" s="96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5"/>
      <c r="B403" s="5"/>
      <c r="C403" s="5"/>
      <c r="D403" s="5"/>
      <c r="E403" s="93"/>
      <c r="F403" s="94"/>
      <c r="G403" s="94"/>
      <c r="H403" s="94"/>
      <c r="I403" s="94"/>
      <c r="J403" s="94"/>
      <c r="K403" s="94"/>
      <c r="L403" s="94"/>
      <c r="M403" s="95"/>
      <c r="N403" s="95"/>
      <c r="O403" s="2"/>
      <c r="P403" s="2"/>
      <c r="Q403" s="96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5"/>
      <c r="B404" s="5"/>
      <c r="C404" s="5"/>
      <c r="D404" s="5"/>
      <c r="E404" s="93"/>
      <c r="F404" s="94"/>
      <c r="G404" s="94"/>
      <c r="H404" s="94"/>
      <c r="I404" s="94"/>
      <c r="J404" s="94"/>
      <c r="K404" s="94"/>
      <c r="L404" s="94"/>
      <c r="M404" s="95"/>
      <c r="N404" s="95"/>
      <c r="O404" s="2"/>
      <c r="P404" s="2"/>
      <c r="Q404" s="96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5"/>
      <c r="B405" s="5"/>
      <c r="C405" s="5"/>
      <c r="D405" s="5"/>
      <c r="E405" s="93"/>
      <c r="F405" s="94"/>
      <c r="G405" s="94"/>
      <c r="H405" s="94"/>
      <c r="I405" s="94"/>
      <c r="J405" s="94"/>
      <c r="K405" s="94"/>
      <c r="L405" s="94"/>
      <c r="M405" s="95"/>
      <c r="N405" s="95"/>
      <c r="O405" s="2"/>
      <c r="P405" s="2"/>
      <c r="Q405" s="96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5"/>
      <c r="B406" s="5"/>
      <c r="C406" s="5"/>
      <c r="D406" s="5"/>
      <c r="E406" s="93"/>
      <c r="F406" s="94"/>
      <c r="G406" s="94"/>
      <c r="H406" s="94"/>
      <c r="I406" s="94"/>
      <c r="J406" s="94"/>
      <c r="K406" s="94"/>
      <c r="L406" s="94"/>
      <c r="M406" s="95"/>
      <c r="N406" s="95"/>
      <c r="O406" s="2"/>
      <c r="P406" s="2"/>
      <c r="Q406" s="96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5"/>
      <c r="B407" s="5"/>
      <c r="C407" s="5"/>
      <c r="D407" s="5"/>
      <c r="E407" s="93"/>
      <c r="F407" s="94"/>
      <c r="G407" s="94"/>
      <c r="H407" s="94"/>
      <c r="I407" s="94"/>
      <c r="J407" s="94"/>
      <c r="K407" s="94"/>
      <c r="L407" s="94"/>
      <c r="M407" s="95"/>
      <c r="N407" s="95"/>
      <c r="O407" s="2"/>
      <c r="P407" s="2"/>
      <c r="Q407" s="96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5"/>
      <c r="B408" s="5"/>
      <c r="C408" s="5"/>
      <c r="D408" s="5"/>
      <c r="E408" s="93"/>
      <c r="F408" s="94"/>
      <c r="G408" s="94"/>
      <c r="H408" s="94"/>
      <c r="I408" s="94"/>
      <c r="J408" s="94"/>
      <c r="K408" s="94"/>
      <c r="L408" s="94"/>
      <c r="M408" s="95"/>
      <c r="N408" s="95"/>
      <c r="O408" s="2"/>
      <c r="P408" s="2"/>
      <c r="Q408" s="96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5"/>
      <c r="B409" s="5"/>
      <c r="C409" s="5"/>
      <c r="D409" s="5"/>
      <c r="E409" s="93"/>
      <c r="F409" s="94"/>
      <c r="G409" s="94"/>
      <c r="H409" s="94"/>
      <c r="I409" s="94"/>
      <c r="J409" s="94"/>
      <c r="K409" s="94"/>
      <c r="L409" s="94"/>
      <c r="M409" s="95"/>
      <c r="N409" s="95"/>
      <c r="O409" s="2"/>
      <c r="P409" s="2"/>
      <c r="Q409" s="96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5"/>
      <c r="B410" s="5"/>
      <c r="C410" s="5"/>
      <c r="D410" s="5"/>
      <c r="E410" s="93"/>
      <c r="F410" s="94"/>
      <c r="G410" s="94"/>
      <c r="H410" s="94"/>
      <c r="I410" s="94"/>
      <c r="J410" s="94"/>
      <c r="K410" s="94"/>
      <c r="L410" s="94"/>
      <c r="M410" s="95"/>
      <c r="N410" s="95"/>
      <c r="O410" s="2"/>
      <c r="P410" s="2"/>
      <c r="Q410" s="96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5"/>
      <c r="B411" s="5"/>
      <c r="C411" s="5"/>
      <c r="D411" s="5"/>
      <c r="E411" s="93"/>
      <c r="F411" s="94"/>
      <c r="G411" s="94"/>
      <c r="H411" s="94"/>
      <c r="I411" s="94"/>
      <c r="J411" s="94"/>
      <c r="K411" s="94"/>
      <c r="L411" s="94"/>
      <c r="M411" s="95"/>
      <c r="N411" s="95"/>
      <c r="O411" s="2"/>
      <c r="P411" s="2"/>
      <c r="Q411" s="96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5"/>
      <c r="B412" s="5"/>
      <c r="C412" s="5"/>
      <c r="D412" s="5"/>
      <c r="E412" s="93"/>
      <c r="F412" s="94"/>
      <c r="G412" s="94"/>
      <c r="H412" s="94"/>
      <c r="I412" s="94"/>
      <c r="J412" s="94"/>
      <c r="K412" s="94"/>
      <c r="L412" s="94"/>
      <c r="M412" s="95"/>
      <c r="N412" s="95"/>
      <c r="O412" s="2"/>
      <c r="P412" s="2"/>
      <c r="Q412" s="96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5"/>
      <c r="B413" s="5"/>
      <c r="C413" s="5"/>
      <c r="D413" s="5"/>
      <c r="E413" s="93"/>
      <c r="F413" s="94"/>
      <c r="G413" s="94"/>
      <c r="H413" s="94"/>
      <c r="I413" s="94"/>
      <c r="J413" s="94"/>
      <c r="K413" s="94"/>
      <c r="L413" s="94"/>
      <c r="M413" s="95"/>
      <c r="N413" s="95"/>
      <c r="O413" s="2"/>
      <c r="P413" s="2"/>
      <c r="Q413" s="96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5"/>
      <c r="B414" s="5"/>
      <c r="C414" s="5"/>
      <c r="D414" s="5"/>
      <c r="E414" s="93"/>
      <c r="F414" s="94"/>
      <c r="G414" s="94"/>
      <c r="H414" s="94"/>
      <c r="I414" s="94"/>
      <c r="J414" s="94"/>
      <c r="K414" s="94"/>
      <c r="L414" s="94"/>
      <c r="M414" s="95"/>
      <c r="N414" s="95"/>
      <c r="O414" s="2"/>
      <c r="P414" s="2"/>
      <c r="Q414" s="96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5"/>
      <c r="B415" s="5"/>
      <c r="C415" s="5"/>
      <c r="D415" s="5"/>
      <c r="E415" s="93"/>
      <c r="F415" s="94"/>
      <c r="G415" s="94"/>
      <c r="H415" s="94"/>
      <c r="I415" s="94"/>
      <c r="J415" s="94"/>
      <c r="K415" s="94"/>
      <c r="L415" s="94"/>
      <c r="M415" s="95"/>
      <c r="N415" s="95"/>
      <c r="O415" s="2"/>
      <c r="P415" s="2"/>
      <c r="Q415" s="96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5"/>
      <c r="B416" s="5"/>
      <c r="C416" s="5"/>
      <c r="D416" s="5"/>
      <c r="E416" s="93"/>
      <c r="F416" s="94"/>
      <c r="G416" s="94"/>
      <c r="H416" s="94"/>
      <c r="I416" s="94"/>
      <c r="J416" s="94"/>
      <c r="K416" s="94"/>
      <c r="L416" s="94"/>
      <c r="M416" s="95"/>
      <c r="N416" s="95"/>
      <c r="O416" s="2"/>
      <c r="P416" s="2"/>
      <c r="Q416" s="96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5"/>
      <c r="B417" s="5"/>
      <c r="C417" s="5"/>
      <c r="D417" s="5"/>
      <c r="E417" s="93"/>
      <c r="F417" s="94"/>
      <c r="G417" s="94"/>
      <c r="H417" s="94"/>
      <c r="I417" s="94"/>
      <c r="J417" s="94"/>
      <c r="K417" s="94"/>
      <c r="L417" s="94"/>
      <c r="M417" s="95"/>
      <c r="N417" s="95"/>
      <c r="O417" s="2"/>
      <c r="P417" s="2"/>
      <c r="Q417" s="96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5"/>
      <c r="B418" s="5"/>
      <c r="C418" s="5"/>
      <c r="D418" s="5"/>
      <c r="E418" s="93"/>
      <c r="F418" s="94"/>
      <c r="G418" s="94"/>
      <c r="H418" s="94"/>
      <c r="I418" s="94"/>
      <c r="J418" s="94"/>
      <c r="K418" s="94"/>
      <c r="L418" s="94"/>
      <c r="M418" s="95"/>
      <c r="N418" s="95"/>
      <c r="O418" s="2"/>
      <c r="P418" s="2"/>
      <c r="Q418" s="96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5"/>
      <c r="B419" s="5"/>
      <c r="C419" s="5"/>
      <c r="D419" s="5"/>
      <c r="E419" s="93"/>
      <c r="F419" s="94"/>
      <c r="G419" s="94"/>
      <c r="H419" s="94"/>
      <c r="I419" s="94"/>
      <c r="J419" s="94"/>
      <c r="K419" s="94"/>
      <c r="L419" s="94"/>
      <c r="M419" s="95"/>
      <c r="N419" s="95"/>
      <c r="O419" s="2"/>
      <c r="P419" s="2"/>
      <c r="Q419" s="96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5"/>
      <c r="B420" s="5"/>
      <c r="C420" s="5"/>
      <c r="D420" s="5"/>
      <c r="E420" s="93"/>
      <c r="F420" s="94"/>
      <c r="G420" s="94"/>
      <c r="H420" s="94"/>
      <c r="I420" s="94"/>
      <c r="J420" s="94"/>
      <c r="K420" s="94"/>
      <c r="L420" s="94"/>
      <c r="M420" s="95"/>
      <c r="N420" s="95"/>
      <c r="O420" s="2"/>
      <c r="P420" s="2"/>
      <c r="Q420" s="96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5"/>
      <c r="B421" s="5"/>
      <c r="C421" s="5"/>
      <c r="D421" s="5"/>
      <c r="E421" s="93"/>
      <c r="F421" s="94"/>
      <c r="G421" s="94"/>
      <c r="H421" s="94"/>
      <c r="I421" s="94"/>
      <c r="J421" s="94"/>
      <c r="K421" s="94"/>
      <c r="L421" s="94"/>
      <c r="M421" s="95"/>
      <c r="N421" s="95"/>
      <c r="O421" s="2"/>
      <c r="P421" s="2"/>
      <c r="Q421" s="96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5"/>
      <c r="B422" s="5"/>
      <c r="C422" s="5"/>
      <c r="D422" s="5"/>
      <c r="E422" s="93"/>
      <c r="F422" s="94"/>
      <c r="G422" s="94"/>
      <c r="H422" s="94"/>
      <c r="I422" s="94"/>
      <c r="J422" s="94"/>
      <c r="K422" s="94"/>
      <c r="L422" s="94"/>
      <c r="M422" s="95"/>
      <c r="N422" s="95"/>
      <c r="O422" s="2"/>
      <c r="P422" s="2"/>
      <c r="Q422" s="96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5"/>
      <c r="B423" s="5"/>
      <c r="C423" s="5"/>
      <c r="D423" s="5"/>
      <c r="E423" s="93"/>
      <c r="F423" s="94"/>
      <c r="G423" s="94"/>
      <c r="H423" s="94"/>
      <c r="I423" s="94"/>
      <c r="J423" s="94"/>
      <c r="K423" s="94"/>
      <c r="L423" s="94"/>
      <c r="M423" s="95"/>
      <c r="N423" s="95"/>
      <c r="O423" s="2"/>
      <c r="P423" s="2"/>
      <c r="Q423" s="96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5"/>
      <c r="B424" s="5"/>
      <c r="C424" s="5"/>
      <c r="D424" s="5"/>
      <c r="E424" s="93"/>
      <c r="F424" s="94"/>
      <c r="G424" s="94"/>
      <c r="H424" s="94"/>
      <c r="I424" s="94"/>
      <c r="J424" s="94"/>
      <c r="K424" s="94"/>
      <c r="L424" s="94"/>
      <c r="M424" s="95"/>
      <c r="N424" s="95"/>
      <c r="O424" s="2"/>
      <c r="P424" s="2"/>
      <c r="Q424" s="96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5"/>
      <c r="B425" s="5"/>
      <c r="C425" s="5"/>
      <c r="D425" s="5"/>
      <c r="E425" s="93"/>
      <c r="F425" s="94"/>
      <c r="G425" s="94"/>
      <c r="H425" s="94"/>
      <c r="I425" s="94"/>
      <c r="J425" s="94"/>
      <c r="K425" s="94"/>
      <c r="L425" s="94"/>
      <c r="M425" s="95"/>
      <c r="N425" s="95"/>
      <c r="O425" s="2"/>
      <c r="P425" s="2"/>
      <c r="Q425" s="96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5"/>
      <c r="B426" s="5"/>
      <c r="C426" s="5"/>
      <c r="D426" s="5"/>
      <c r="E426" s="93"/>
      <c r="F426" s="94"/>
      <c r="G426" s="94"/>
      <c r="H426" s="94"/>
      <c r="I426" s="94"/>
      <c r="J426" s="94"/>
      <c r="K426" s="94"/>
      <c r="L426" s="94"/>
      <c r="M426" s="95"/>
      <c r="N426" s="95"/>
      <c r="O426" s="2"/>
      <c r="P426" s="2"/>
      <c r="Q426" s="96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5"/>
      <c r="B427" s="5"/>
      <c r="C427" s="5"/>
      <c r="D427" s="5"/>
      <c r="E427" s="93"/>
      <c r="F427" s="94"/>
      <c r="G427" s="94"/>
      <c r="H427" s="94"/>
      <c r="I427" s="94"/>
      <c r="J427" s="94"/>
      <c r="K427" s="94"/>
      <c r="L427" s="94"/>
      <c r="M427" s="95"/>
      <c r="N427" s="95"/>
      <c r="O427" s="2"/>
      <c r="P427" s="2"/>
      <c r="Q427" s="96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5"/>
      <c r="B428" s="5"/>
      <c r="C428" s="5"/>
      <c r="D428" s="5"/>
      <c r="E428" s="93"/>
      <c r="F428" s="94"/>
      <c r="G428" s="94"/>
      <c r="H428" s="94"/>
      <c r="I428" s="94"/>
      <c r="J428" s="94"/>
      <c r="K428" s="94"/>
      <c r="L428" s="94"/>
      <c r="M428" s="95"/>
      <c r="N428" s="95"/>
      <c r="O428" s="2"/>
      <c r="P428" s="2"/>
      <c r="Q428" s="96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5"/>
      <c r="B429" s="5"/>
      <c r="C429" s="5"/>
      <c r="D429" s="5"/>
      <c r="E429" s="93"/>
      <c r="F429" s="94"/>
      <c r="G429" s="94"/>
      <c r="H429" s="94"/>
      <c r="I429" s="94"/>
      <c r="J429" s="94"/>
      <c r="K429" s="94"/>
      <c r="L429" s="94"/>
      <c r="M429" s="95"/>
      <c r="N429" s="95"/>
      <c r="O429" s="2"/>
      <c r="P429" s="2"/>
      <c r="Q429" s="96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5"/>
      <c r="B430" s="5"/>
      <c r="C430" s="5"/>
      <c r="D430" s="5"/>
      <c r="E430" s="93"/>
      <c r="F430" s="94"/>
      <c r="G430" s="94"/>
      <c r="H430" s="94"/>
      <c r="I430" s="94"/>
      <c r="J430" s="94"/>
      <c r="K430" s="94"/>
      <c r="L430" s="94"/>
      <c r="M430" s="95"/>
      <c r="N430" s="95"/>
      <c r="O430" s="2"/>
      <c r="P430" s="2"/>
      <c r="Q430" s="96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5"/>
      <c r="B431" s="5"/>
      <c r="C431" s="5"/>
      <c r="D431" s="5"/>
      <c r="E431" s="93"/>
      <c r="F431" s="94"/>
      <c r="G431" s="94"/>
      <c r="H431" s="94"/>
      <c r="I431" s="94"/>
      <c r="J431" s="94"/>
      <c r="K431" s="94"/>
      <c r="L431" s="94"/>
      <c r="M431" s="95"/>
      <c r="N431" s="95"/>
      <c r="O431" s="2"/>
      <c r="P431" s="2"/>
      <c r="Q431" s="96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5"/>
      <c r="B432" s="5"/>
      <c r="C432" s="5"/>
      <c r="D432" s="5"/>
      <c r="E432" s="93"/>
      <c r="F432" s="94"/>
      <c r="G432" s="94"/>
      <c r="H432" s="94"/>
      <c r="I432" s="94"/>
      <c r="J432" s="94"/>
      <c r="K432" s="94"/>
      <c r="L432" s="94"/>
      <c r="M432" s="95"/>
      <c r="N432" s="95"/>
      <c r="O432" s="2"/>
      <c r="P432" s="2"/>
      <c r="Q432" s="96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5"/>
      <c r="B433" s="5"/>
      <c r="C433" s="5"/>
      <c r="D433" s="5"/>
      <c r="E433" s="93"/>
      <c r="F433" s="94"/>
      <c r="G433" s="94"/>
      <c r="H433" s="94"/>
      <c r="I433" s="94"/>
      <c r="J433" s="94"/>
      <c r="K433" s="94"/>
      <c r="L433" s="94"/>
      <c r="M433" s="95"/>
      <c r="N433" s="95"/>
      <c r="O433" s="2"/>
      <c r="P433" s="2"/>
      <c r="Q433" s="96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5"/>
      <c r="B434" s="5"/>
      <c r="C434" s="5"/>
      <c r="D434" s="5"/>
      <c r="E434" s="93"/>
      <c r="F434" s="94"/>
      <c r="G434" s="94"/>
      <c r="H434" s="94"/>
      <c r="I434" s="94"/>
      <c r="J434" s="94"/>
      <c r="K434" s="94"/>
      <c r="L434" s="94"/>
      <c r="M434" s="95"/>
      <c r="N434" s="95"/>
      <c r="O434" s="2"/>
      <c r="P434" s="2"/>
      <c r="Q434" s="96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5"/>
      <c r="B435" s="5"/>
      <c r="C435" s="5"/>
      <c r="D435" s="5"/>
      <c r="E435" s="93"/>
      <c r="F435" s="94"/>
      <c r="G435" s="94"/>
      <c r="H435" s="94"/>
      <c r="I435" s="94"/>
      <c r="J435" s="94"/>
      <c r="K435" s="94"/>
      <c r="L435" s="94"/>
      <c r="M435" s="95"/>
      <c r="N435" s="95"/>
      <c r="O435" s="2"/>
      <c r="P435" s="2"/>
      <c r="Q435" s="96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5"/>
      <c r="B436" s="5"/>
      <c r="C436" s="5"/>
      <c r="D436" s="5"/>
      <c r="E436" s="93"/>
      <c r="F436" s="94"/>
      <c r="G436" s="94"/>
      <c r="H436" s="94"/>
      <c r="I436" s="94"/>
      <c r="J436" s="94"/>
      <c r="K436" s="94"/>
      <c r="L436" s="94"/>
      <c r="M436" s="95"/>
      <c r="N436" s="95"/>
      <c r="O436" s="2"/>
      <c r="P436" s="2"/>
      <c r="Q436" s="96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5"/>
      <c r="B437" s="5"/>
      <c r="C437" s="5"/>
      <c r="D437" s="5"/>
      <c r="E437" s="93"/>
      <c r="F437" s="94"/>
      <c r="G437" s="94"/>
      <c r="H437" s="94"/>
      <c r="I437" s="94"/>
      <c r="J437" s="94"/>
      <c r="K437" s="94"/>
      <c r="L437" s="94"/>
      <c r="M437" s="95"/>
      <c r="N437" s="95"/>
      <c r="O437" s="2"/>
      <c r="P437" s="2"/>
      <c r="Q437" s="96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5"/>
      <c r="B438" s="5"/>
      <c r="C438" s="5"/>
      <c r="D438" s="5"/>
      <c r="E438" s="93"/>
      <c r="F438" s="94"/>
      <c r="G438" s="94"/>
      <c r="H438" s="94"/>
      <c r="I438" s="94"/>
      <c r="J438" s="94"/>
      <c r="K438" s="94"/>
      <c r="L438" s="94"/>
      <c r="M438" s="95"/>
      <c r="N438" s="95"/>
      <c r="O438" s="2"/>
      <c r="P438" s="2"/>
      <c r="Q438" s="96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5"/>
      <c r="B439" s="5"/>
      <c r="C439" s="5"/>
      <c r="D439" s="5"/>
      <c r="E439" s="93"/>
      <c r="F439" s="94"/>
      <c r="G439" s="94"/>
      <c r="H439" s="94"/>
      <c r="I439" s="94"/>
      <c r="J439" s="94"/>
      <c r="K439" s="94"/>
      <c r="L439" s="94"/>
      <c r="M439" s="95"/>
      <c r="N439" s="95"/>
      <c r="O439" s="2"/>
      <c r="P439" s="2"/>
      <c r="Q439" s="96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5"/>
      <c r="B440" s="5"/>
      <c r="C440" s="5"/>
      <c r="D440" s="5"/>
      <c r="E440" s="93"/>
      <c r="F440" s="94"/>
      <c r="G440" s="94"/>
      <c r="H440" s="94"/>
      <c r="I440" s="94"/>
      <c r="J440" s="94"/>
      <c r="K440" s="94"/>
      <c r="L440" s="94"/>
      <c r="M440" s="95"/>
      <c r="N440" s="95"/>
      <c r="O440" s="2"/>
      <c r="P440" s="2"/>
      <c r="Q440" s="96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5"/>
      <c r="B441" s="5"/>
      <c r="C441" s="5"/>
      <c r="D441" s="5"/>
      <c r="E441" s="93"/>
      <c r="F441" s="94"/>
      <c r="G441" s="94"/>
      <c r="H441" s="94"/>
      <c r="I441" s="94"/>
      <c r="J441" s="94"/>
      <c r="K441" s="94"/>
      <c r="L441" s="94"/>
      <c r="M441" s="95"/>
      <c r="N441" s="95"/>
      <c r="O441" s="2"/>
      <c r="P441" s="2"/>
      <c r="Q441" s="96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5"/>
      <c r="B442" s="5"/>
      <c r="C442" s="5"/>
      <c r="D442" s="5"/>
      <c r="E442" s="93"/>
      <c r="F442" s="94"/>
      <c r="G442" s="94"/>
      <c r="H442" s="94"/>
      <c r="I442" s="94"/>
      <c r="J442" s="94"/>
      <c r="K442" s="94"/>
      <c r="L442" s="94"/>
      <c r="M442" s="95"/>
      <c r="N442" s="95"/>
      <c r="O442" s="2"/>
      <c r="P442" s="2"/>
      <c r="Q442" s="96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5"/>
      <c r="B443" s="5"/>
      <c r="C443" s="5"/>
      <c r="D443" s="5"/>
      <c r="E443" s="93"/>
      <c r="F443" s="94"/>
      <c r="G443" s="94"/>
      <c r="H443" s="94"/>
      <c r="I443" s="94"/>
      <c r="J443" s="94"/>
      <c r="K443" s="94"/>
      <c r="L443" s="94"/>
      <c r="M443" s="95"/>
      <c r="N443" s="95"/>
      <c r="O443" s="2"/>
      <c r="P443" s="2"/>
      <c r="Q443" s="96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5"/>
      <c r="B444" s="5"/>
      <c r="C444" s="5"/>
      <c r="D444" s="5"/>
      <c r="E444" s="93"/>
      <c r="F444" s="94"/>
      <c r="G444" s="94"/>
      <c r="H444" s="94"/>
      <c r="I444" s="94"/>
      <c r="J444" s="94"/>
      <c r="K444" s="94"/>
      <c r="L444" s="94"/>
      <c r="M444" s="95"/>
      <c r="N444" s="95"/>
      <c r="O444" s="2"/>
      <c r="P444" s="2"/>
      <c r="Q444" s="96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5"/>
      <c r="B445" s="5"/>
      <c r="C445" s="5"/>
      <c r="D445" s="5"/>
      <c r="E445" s="93"/>
      <c r="F445" s="94"/>
      <c r="G445" s="94"/>
      <c r="H445" s="94"/>
      <c r="I445" s="94"/>
      <c r="J445" s="94"/>
      <c r="K445" s="94"/>
      <c r="L445" s="94"/>
      <c r="M445" s="95"/>
      <c r="N445" s="95"/>
      <c r="O445" s="2"/>
      <c r="P445" s="2"/>
      <c r="Q445" s="96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5"/>
      <c r="B446" s="5"/>
      <c r="C446" s="5"/>
      <c r="D446" s="5"/>
      <c r="E446" s="93"/>
      <c r="F446" s="94"/>
      <c r="G446" s="94"/>
      <c r="H446" s="94"/>
      <c r="I446" s="94"/>
      <c r="J446" s="94"/>
      <c r="K446" s="94"/>
      <c r="L446" s="94"/>
      <c r="M446" s="95"/>
      <c r="N446" s="95"/>
      <c r="O446" s="2"/>
      <c r="P446" s="2"/>
      <c r="Q446" s="96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5"/>
      <c r="B447" s="5"/>
      <c r="C447" s="5"/>
      <c r="D447" s="5"/>
      <c r="E447" s="93"/>
      <c r="F447" s="94"/>
      <c r="G447" s="94"/>
      <c r="H447" s="94"/>
      <c r="I447" s="94"/>
      <c r="J447" s="94"/>
      <c r="K447" s="94"/>
      <c r="L447" s="94"/>
      <c r="M447" s="95"/>
      <c r="N447" s="95"/>
      <c r="O447" s="2"/>
      <c r="P447" s="2"/>
      <c r="Q447" s="96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5"/>
      <c r="B448" s="5"/>
      <c r="C448" s="5"/>
      <c r="D448" s="5"/>
      <c r="E448" s="93"/>
      <c r="F448" s="94"/>
      <c r="G448" s="94"/>
      <c r="H448" s="94"/>
      <c r="I448" s="94"/>
      <c r="J448" s="94"/>
      <c r="K448" s="94"/>
      <c r="L448" s="94"/>
      <c r="M448" s="95"/>
      <c r="N448" s="95"/>
      <c r="O448" s="2"/>
      <c r="P448" s="2"/>
      <c r="Q448" s="96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5"/>
      <c r="B449" s="5"/>
      <c r="C449" s="5"/>
      <c r="D449" s="5"/>
      <c r="E449" s="93"/>
      <c r="F449" s="94"/>
      <c r="G449" s="94"/>
      <c r="H449" s="94"/>
      <c r="I449" s="94"/>
      <c r="J449" s="94"/>
      <c r="K449" s="94"/>
      <c r="L449" s="94"/>
      <c r="M449" s="95"/>
      <c r="N449" s="95"/>
      <c r="O449" s="2"/>
      <c r="P449" s="2"/>
      <c r="Q449" s="96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718">
    <mergeCell ref="L186:M186"/>
    <mergeCell ref="N186:O186"/>
    <mergeCell ref="I184:K184"/>
    <mergeCell ref="L184:M184"/>
    <mergeCell ref="N184:O184"/>
    <mergeCell ref="I185:K185"/>
    <mergeCell ref="L185:M185"/>
    <mergeCell ref="N185:O185"/>
    <mergeCell ref="I186:K186"/>
    <mergeCell ref="L189:M189"/>
    <mergeCell ref="N189:O189"/>
    <mergeCell ref="I187:K187"/>
    <mergeCell ref="L187:M187"/>
    <mergeCell ref="N187:O187"/>
    <mergeCell ref="I188:K188"/>
    <mergeCell ref="L188:M188"/>
    <mergeCell ref="N188:O188"/>
    <mergeCell ref="I189:K189"/>
    <mergeCell ref="L192:M192"/>
    <mergeCell ref="N192:O192"/>
    <mergeCell ref="I190:K190"/>
    <mergeCell ref="L190:M190"/>
    <mergeCell ref="N190:O190"/>
    <mergeCell ref="I191:K191"/>
    <mergeCell ref="L191:M191"/>
    <mergeCell ref="N191:O191"/>
    <mergeCell ref="I192:K192"/>
    <mergeCell ref="L195:M195"/>
    <mergeCell ref="N195:O195"/>
    <mergeCell ref="I193:K193"/>
    <mergeCell ref="L193:M193"/>
    <mergeCell ref="N193:O193"/>
    <mergeCell ref="I194:K194"/>
    <mergeCell ref="L194:M194"/>
    <mergeCell ref="N194:O194"/>
    <mergeCell ref="I195:K195"/>
    <mergeCell ref="L198:M198"/>
    <mergeCell ref="N198:O198"/>
    <mergeCell ref="I196:K196"/>
    <mergeCell ref="L196:M196"/>
    <mergeCell ref="N196:O196"/>
    <mergeCell ref="I197:K197"/>
    <mergeCell ref="L197:M197"/>
    <mergeCell ref="N197:O197"/>
    <mergeCell ref="I198:K198"/>
    <mergeCell ref="L201:M201"/>
    <mergeCell ref="N201:O201"/>
    <mergeCell ref="I199:K199"/>
    <mergeCell ref="L199:M199"/>
    <mergeCell ref="N199:O199"/>
    <mergeCell ref="I200:K200"/>
    <mergeCell ref="L200:M200"/>
    <mergeCell ref="N200:O200"/>
    <mergeCell ref="I201:K201"/>
    <mergeCell ref="L204:M204"/>
    <mergeCell ref="N204:O204"/>
    <mergeCell ref="I202:K202"/>
    <mergeCell ref="L202:M202"/>
    <mergeCell ref="N202:O202"/>
    <mergeCell ref="I203:K203"/>
    <mergeCell ref="L203:M203"/>
    <mergeCell ref="N203:O203"/>
    <mergeCell ref="I204:K204"/>
    <mergeCell ref="L228:M228"/>
    <mergeCell ref="N228:O228"/>
    <mergeCell ref="I226:K226"/>
    <mergeCell ref="L226:M226"/>
    <mergeCell ref="N226:O226"/>
    <mergeCell ref="I227:K227"/>
    <mergeCell ref="L227:M227"/>
    <mergeCell ref="N227:O227"/>
    <mergeCell ref="I228:K228"/>
    <mergeCell ref="L231:M231"/>
    <mergeCell ref="N231:O231"/>
    <mergeCell ref="I229:K229"/>
    <mergeCell ref="L229:M229"/>
    <mergeCell ref="N229:O229"/>
    <mergeCell ref="I230:K230"/>
    <mergeCell ref="L230:M230"/>
    <mergeCell ref="N230:O230"/>
    <mergeCell ref="I231:K231"/>
    <mergeCell ref="L234:M234"/>
    <mergeCell ref="N234:O234"/>
    <mergeCell ref="I232:K232"/>
    <mergeCell ref="L232:M232"/>
    <mergeCell ref="N232:O232"/>
    <mergeCell ref="I233:K233"/>
    <mergeCell ref="L233:M233"/>
    <mergeCell ref="N233:O233"/>
    <mergeCell ref="I234:K234"/>
    <mergeCell ref="L237:M237"/>
    <mergeCell ref="N237:O237"/>
    <mergeCell ref="I235:K235"/>
    <mergeCell ref="L235:M235"/>
    <mergeCell ref="N235:O235"/>
    <mergeCell ref="I236:K236"/>
    <mergeCell ref="L236:M236"/>
    <mergeCell ref="N236:O236"/>
    <mergeCell ref="I237:K237"/>
    <mergeCell ref="L240:M240"/>
    <mergeCell ref="N240:O240"/>
    <mergeCell ref="I238:K238"/>
    <mergeCell ref="L238:M238"/>
    <mergeCell ref="N238:O238"/>
    <mergeCell ref="I239:K239"/>
    <mergeCell ref="L239:M239"/>
    <mergeCell ref="N239:O239"/>
    <mergeCell ref="I240:K240"/>
    <mergeCell ref="L243:M243"/>
    <mergeCell ref="N243:O243"/>
    <mergeCell ref="I241:K241"/>
    <mergeCell ref="L241:M241"/>
    <mergeCell ref="N241:O241"/>
    <mergeCell ref="I242:K242"/>
    <mergeCell ref="L242:M242"/>
    <mergeCell ref="N242:O242"/>
    <mergeCell ref="I243:K243"/>
    <mergeCell ref="L246:M246"/>
    <mergeCell ref="N246:O246"/>
    <mergeCell ref="I244:K244"/>
    <mergeCell ref="L244:M244"/>
    <mergeCell ref="N244:O244"/>
    <mergeCell ref="I245:K245"/>
    <mergeCell ref="L245:M245"/>
    <mergeCell ref="N245:O245"/>
    <mergeCell ref="I246:K246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I247:K247"/>
    <mergeCell ref="L247:M247"/>
    <mergeCell ref="N247:O247"/>
    <mergeCell ref="I248:K248"/>
    <mergeCell ref="L248:M248"/>
    <mergeCell ref="N248:O248"/>
    <mergeCell ref="L207:M207"/>
    <mergeCell ref="N207:O207"/>
    <mergeCell ref="I205:K205"/>
    <mergeCell ref="L205:M205"/>
    <mergeCell ref="N205:O205"/>
    <mergeCell ref="I206:K206"/>
    <mergeCell ref="L206:M206"/>
    <mergeCell ref="N206:O206"/>
    <mergeCell ref="I207:K207"/>
    <mergeCell ref="L210:M210"/>
    <mergeCell ref="N210:O210"/>
    <mergeCell ref="I208:K208"/>
    <mergeCell ref="L208:M208"/>
    <mergeCell ref="N208:O208"/>
    <mergeCell ref="I209:K209"/>
    <mergeCell ref="L209:M209"/>
    <mergeCell ref="N209:O209"/>
    <mergeCell ref="I210:K210"/>
    <mergeCell ref="L213:M213"/>
    <mergeCell ref="N213:O213"/>
    <mergeCell ref="I211:K211"/>
    <mergeCell ref="L211:M211"/>
    <mergeCell ref="N211:O211"/>
    <mergeCell ref="I212:K212"/>
    <mergeCell ref="L212:M212"/>
    <mergeCell ref="N212:O212"/>
    <mergeCell ref="I213:K213"/>
    <mergeCell ref="L216:M216"/>
    <mergeCell ref="N216:O216"/>
    <mergeCell ref="I214:K214"/>
    <mergeCell ref="L214:M214"/>
    <mergeCell ref="N214:O214"/>
    <mergeCell ref="I215:K215"/>
    <mergeCell ref="L215:M215"/>
    <mergeCell ref="N215:O215"/>
    <mergeCell ref="I216:K216"/>
    <mergeCell ref="L219:M219"/>
    <mergeCell ref="N219:O219"/>
    <mergeCell ref="I217:K217"/>
    <mergeCell ref="L217:M217"/>
    <mergeCell ref="N217:O217"/>
    <mergeCell ref="I218:K218"/>
    <mergeCell ref="L218:M218"/>
    <mergeCell ref="N218:O218"/>
    <mergeCell ref="I219:K219"/>
    <mergeCell ref="L222:M222"/>
    <mergeCell ref="N222:O222"/>
    <mergeCell ref="I220:K220"/>
    <mergeCell ref="L220:M220"/>
    <mergeCell ref="N220:O220"/>
    <mergeCell ref="I221:K221"/>
    <mergeCell ref="L221:M221"/>
    <mergeCell ref="N221:O221"/>
    <mergeCell ref="I222:K222"/>
    <mergeCell ref="L225:M225"/>
    <mergeCell ref="N225:O225"/>
    <mergeCell ref="E249:K249"/>
    <mergeCell ref="L249:M249"/>
    <mergeCell ref="N249:O249"/>
    <mergeCell ref="I223:K223"/>
    <mergeCell ref="L223:M223"/>
    <mergeCell ref="N223:O223"/>
    <mergeCell ref="I224:K224"/>
    <mergeCell ref="L224:M224"/>
    <mergeCell ref="N224:O224"/>
    <mergeCell ref="I225:K225"/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I133:K133"/>
    <mergeCell ref="L133:M133"/>
    <mergeCell ref="N133:O133"/>
    <mergeCell ref="I134:K134"/>
    <mergeCell ref="L134:M134"/>
    <mergeCell ref="N134:O134"/>
    <mergeCell ref="I135:K135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41:M141"/>
    <mergeCell ref="N141:O141"/>
    <mergeCell ref="I139:K139"/>
    <mergeCell ref="L139:M139"/>
    <mergeCell ref="N139:O139"/>
    <mergeCell ref="I140:K140"/>
    <mergeCell ref="L140:M140"/>
    <mergeCell ref="N140:O140"/>
    <mergeCell ref="I141:K141"/>
    <mergeCell ref="L144:M144"/>
    <mergeCell ref="N144:O144"/>
    <mergeCell ref="I142:K142"/>
    <mergeCell ref="L142:M142"/>
    <mergeCell ref="N142:O142"/>
    <mergeCell ref="I143:K143"/>
    <mergeCell ref="L143:M143"/>
    <mergeCell ref="N143:O143"/>
    <mergeCell ref="I144:K144"/>
    <mergeCell ref="L147:M147"/>
    <mergeCell ref="N147:O147"/>
    <mergeCell ref="I145:K145"/>
    <mergeCell ref="L145:M145"/>
    <mergeCell ref="N145:O145"/>
    <mergeCell ref="I146:K146"/>
    <mergeCell ref="L146:M146"/>
    <mergeCell ref="N146:O146"/>
    <mergeCell ref="I147:K147"/>
    <mergeCell ref="L150:M150"/>
    <mergeCell ref="N150:O150"/>
    <mergeCell ref="I148:K148"/>
    <mergeCell ref="L148:M148"/>
    <mergeCell ref="N148:O148"/>
    <mergeCell ref="I149:K149"/>
    <mergeCell ref="L149:M149"/>
    <mergeCell ref="N149:O149"/>
    <mergeCell ref="I150:K150"/>
    <mergeCell ref="L153:M153"/>
    <mergeCell ref="N153:O153"/>
    <mergeCell ref="I151:K151"/>
    <mergeCell ref="L151:M151"/>
    <mergeCell ref="N151:O151"/>
    <mergeCell ref="I152:K152"/>
    <mergeCell ref="L152:M152"/>
    <mergeCell ref="N152:O152"/>
    <mergeCell ref="I153:K153"/>
    <mergeCell ref="L156:M156"/>
    <mergeCell ref="N156:O156"/>
    <mergeCell ref="I154:K154"/>
    <mergeCell ref="L154:M154"/>
    <mergeCell ref="N154:O154"/>
    <mergeCell ref="I155:K155"/>
    <mergeCell ref="L155:M155"/>
    <mergeCell ref="N155:O155"/>
    <mergeCell ref="I156:K156"/>
    <mergeCell ref="L159:M159"/>
    <mergeCell ref="N159:O159"/>
    <mergeCell ref="I157:K157"/>
    <mergeCell ref="L157:M157"/>
    <mergeCell ref="N157:O157"/>
    <mergeCell ref="I158:K158"/>
    <mergeCell ref="L158:M158"/>
    <mergeCell ref="N158:O158"/>
    <mergeCell ref="I159:K159"/>
    <mergeCell ref="L162:M162"/>
    <mergeCell ref="N162:O162"/>
    <mergeCell ref="I160:K160"/>
    <mergeCell ref="L160:M160"/>
    <mergeCell ref="N160:O160"/>
    <mergeCell ref="I161:K161"/>
    <mergeCell ref="L161:M161"/>
    <mergeCell ref="N161:O161"/>
    <mergeCell ref="I162:K162"/>
    <mergeCell ref="L165:M165"/>
    <mergeCell ref="N165:O165"/>
    <mergeCell ref="I163:K163"/>
    <mergeCell ref="L163:M163"/>
    <mergeCell ref="N163:O163"/>
    <mergeCell ref="I164:K164"/>
    <mergeCell ref="L164:M164"/>
    <mergeCell ref="N164:O164"/>
    <mergeCell ref="I165:K165"/>
    <mergeCell ref="L168:M168"/>
    <mergeCell ref="N168:O168"/>
    <mergeCell ref="I166:K166"/>
    <mergeCell ref="L166:M166"/>
    <mergeCell ref="N166:O166"/>
    <mergeCell ref="I167:K167"/>
    <mergeCell ref="L167:M167"/>
    <mergeCell ref="N167:O167"/>
    <mergeCell ref="I168:K168"/>
    <mergeCell ref="L171:M171"/>
    <mergeCell ref="N171:O171"/>
    <mergeCell ref="I169:K169"/>
    <mergeCell ref="L169:M169"/>
    <mergeCell ref="N169:O169"/>
    <mergeCell ref="I170:K170"/>
    <mergeCell ref="L170:M170"/>
    <mergeCell ref="N170:O170"/>
    <mergeCell ref="I171:K171"/>
    <mergeCell ref="L174:M174"/>
    <mergeCell ref="N174:O174"/>
    <mergeCell ref="I172:K172"/>
    <mergeCell ref="L172:M172"/>
    <mergeCell ref="N172:O172"/>
    <mergeCell ref="I173:K173"/>
    <mergeCell ref="L173:M173"/>
    <mergeCell ref="N173:O173"/>
    <mergeCell ref="I174:K174"/>
    <mergeCell ref="L177:M177"/>
    <mergeCell ref="N177:O177"/>
    <mergeCell ref="I175:K175"/>
    <mergeCell ref="L175:M175"/>
    <mergeCell ref="N175:O175"/>
    <mergeCell ref="I176:K176"/>
    <mergeCell ref="L176:M176"/>
    <mergeCell ref="N176:O176"/>
    <mergeCell ref="I177:K177"/>
    <mergeCell ref="L180:M180"/>
    <mergeCell ref="N180:O180"/>
    <mergeCell ref="I178:K178"/>
    <mergeCell ref="L178:M178"/>
    <mergeCell ref="N178:O178"/>
    <mergeCell ref="I179:K179"/>
    <mergeCell ref="L179:M179"/>
    <mergeCell ref="N179:O179"/>
    <mergeCell ref="I180:K180"/>
    <mergeCell ref="L183:M183"/>
    <mergeCell ref="N183:O183"/>
    <mergeCell ref="I181:K181"/>
    <mergeCell ref="L181:M181"/>
    <mergeCell ref="N181:O181"/>
    <mergeCell ref="I182:K182"/>
    <mergeCell ref="L182:M182"/>
    <mergeCell ref="N182:O182"/>
    <mergeCell ref="I183:K183"/>
  </mergeCells>
  <conditionalFormatting sqref="C18:G248">
    <cfRule type="cellIs" dxfId="0" priority="1" stopIfTrue="1" operator="equal">
      <formula>"Borrar"</formula>
    </cfRule>
  </conditionalFormatting>
  <conditionalFormatting sqref="I18:I248">
    <cfRule type="cellIs" dxfId="0" priority="2" stopIfTrue="1" operator="equal">
      <formula>"Pago mayor"</formula>
    </cfRule>
  </conditionalFormatting>
  <conditionalFormatting sqref="I19:I24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128000.0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128000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L249</f>
        <v>0</v>
      </c>
      <c r="M15" s="17"/>
      <c r="N15" s="64">
        <f>N249</f>
        <v>128000</v>
      </c>
      <c r="O15" s="17"/>
      <c r="P15" s="65">
        <f t="shared" ref="P15:Q15" si="1">P249</f>
        <v>42452</v>
      </c>
      <c r="Q15" s="66">
        <f t="shared" si="1"/>
        <v>170452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67" si="2">VLOOKUP(C18,$A$19:$B$30,2)</f>
        <v>Dic</v>
      </c>
      <c r="H18" s="79">
        <f>K8</f>
        <v>2025</v>
      </c>
      <c r="I18" s="80">
        <f>I5</f>
        <v>128000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67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68" si="6">IF(C19&gt;C18,H18,H18+1)</f>
        <v>2026</v>
      </c>
      <c r="I19" s="80">
        <f t="shared" ref="I19:I248" si="7">IF((I18-N19-L19)&lt;0,"Excede pago",IF((I18-N19-L19)=0,"0",ROUNDDOWN((I18-N19-L19),0)))</f>
        <v>127219</v>
      </c>
      <c r="J19" s="10"/>
      <c r="K19" s="17"/>
      <c r="L19" s="81"/>
      <c r="M19" s="17"/>
      <c r="N19" s="82">
        <f>ROUND(($Q$19-$P$19-$L$19),0)</f>
        <v>781</v>
      </c>
      <c r="O19" s="17"/>
      <c r="P19" s="87">
        <f t="shared" ref="P19:P248" si="8">ROUNDDOWN((I18*$I$6),0)</f>
        <v>640</v>
      </c>
      <c r="Q19" s="87">
        <f>ROUND((-PMT($I$6,$I$7,$I$5,0,0)+L19),0)</f>
        <v>1421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126434</v>
      </c>
      <c r="J20" s="10"/>
      <c r="K20" s="17"/>
      <c r="L20" s="81"/>
      <c r="M20" s="17"/>
      <c r="N20" s="82">
        <f t="shared" ref="N20:N248" si="9">IF((($Q$19-$L$19-P20)&lt;=(I19-L20)),ROUND(($Q$19-$L$19-P20),0),ROUND(I19,0))</f>
        <v>785</v>
      </c>
      <c r="O20" s="17"/>
      <c r="P20" s="87">
        <f t="shared" si="8"/>
        <v>636</v>
      </c>
      <c r="Q20" s="87">
        <f t="shared" ref="Q20:Q248" si="10">SUM(L20:P20)</f>
        <v>1421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125645</v>
      </c>
      <c r="J21" s="10"/>
      <c r="K21" s="17"/>
      <c r="L21" s="81"/>
      <c r="M21" s="17"/>
      <c r="N21" s="82">
        <f t="shared" si="9"/>
        <v>789</v>
      </c>
      <c r="O21" s="17"/>
      <c r="P21" s="87">
        <f t="shared" si="8"/>
        <v>632</v>
      </c>
      <c r="Q21" s="87">
        <f t="shared" si="10"/>
        <v>1421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124852</v>
      </c>
      <c r="J22" s="10"/>
      <c r="K22" s="17"/>
      <c r="L22" s="81"/>
      <c r="M22" s="17"/>
      <c r="N22" s="82">
        <f t="shared" si="9"/>
        <v>793</v>
      </c>
      <c r="O22" s="17"/>
      <c r="P22" s="87">
        <f t="shared" si="8"/>
        <v>628</v>
      </c>
      <c r="Q22" s="87">
        <f t="shared" si="10"/>
        <v>1421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124055</v>
      </c>
      <c r="J23" s="10"/>
      <c r="K23" s="17"/>
      <c r="L23" s="81"/>
      <c r="M23" s="17"/>
      <c r="N23" s="82">
        <f t="shared" si="9"/>
        <v>797</v>
      </c>
      <c r="O23" s="17"/>
      <c r="P23" s="87">
        <f t="shared" si="8"/>
        <v>624</v>
      </c>
      <c r="Q23" s="87">
        <f t="shared" si="10"/>
        <v>1421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123254</v>
      </c>
      <c r="J24" s="10"/>
      <c r="K24" s="17"/>
      <c r="L24" s="81"/>
      <c r="M24" s="17"/>
      <c r="N24" s="82">
        <f t="shared" si="9"/>
        <v>801</v>
      </c>
      <c r="O24" s="17"/>
      <c r="P24" s="87">
        <f t="shared" si="8"/>
        <v>620</v>
      </c>
      <c r="Q24" s="87">
        <f t="shared" si="10"/>
        <v>1421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122449</v>
      </c>
      <c r="J25" s="10"/>
      <c r="K25" s="17"/>
      <c r="L25" s="81"/>
      <c r="M25" s="17"/>
      <c r="N25" s="82">
        <f t="shared" si="9"/>
        <v>805</v>
      </c>
      <c r="O25" s="17"/>
      <c r="P25" s="87">
        <f t="shared" si="8"/>
        <v>616</v>
      </c>
      <c r="Q25" s="87">
        <f t="shared" si="10"/>
        <v>1421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121640</v>
      </c>
      <c r="J26" s="10"/>
      <c r="K26" s="17"/>
      <c r="L26" s="81"/>
      <c r="M26" s="17"/>
      <c r="N26" s="82">
        <f t="shared" si="9"/>
        <v>809</v>
      </c>
      <c r="O26" s="17"/>
      <c r="P26" s="87">
        <f t="shared" si="8"/>
        <v>612</v>
      </c>
      <c r="Q26" s="87">
        <f t="shared" si="10"/>
        <v>1421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120827</v>
      </c>
      <c r="J27" s="10"/>
      <c r="K27" s="17"/>
      <c r="L27" s="81"/>
      <c r="M27" s="17"/>
      <c r="N27" s="82">
        <f t="shared" si="9"/>
        <v>813</v>
      </c>
      <c r="O27" s="17"/>
      <c r="P27" s="87">
        <f t="shared" si="8"/>
        <v>608</v>
      </c>
      <c r="Q27" s="87">
        <f t="shared" si="10"/>
        <v>1421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120010</v>
      </c>
      <c r="J28" s="10"/>
      <c r="K28" s="17"/>
      <c r="L28" s="81"/>
      <c r="M28" s="17"/>
      <c r="N28" s="82">
        <f t="shared" si="9"/>
        <v>817</v>
      </c>
      <c r="O28" s="17"/>
      <c r="P28" s="87">
        <f t="shared" si="8"/>
        <v>604</v>
      </c>
      <c r="Q28" s="87">
        <f t="shared" si="10"/>
        <v>1421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119189</v>
      </c>
      <c r="J29" s="10"/>
      <c r="K29" s="17"/>
      <c r="L29" s="81"/>
      <c r="M29" s="17"/>
      <c r="N29" s="82">
        <f t="shared" si="9"/>
        <v>821</v>
      </c>
      <c r="O29" s="17"/>
      <c r="P29" s="87">
        <f t="shared" si="8"/>
        <v>600</v>
      </c>
      <c r="Q29" s="87">
        <f t="shared" si="10"/>
        <v>1421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118363</v>
      </c>
      <c r="J30" s="10"/>
      <c r="K30" s="17"/>
      <c r="L30" s="81"/>
      <c r="M30" s="17"/>
      <c r="N30" s="82">
        <f t="shared" si="9"/>
        <v>826</v>
      </c>
      <c r="O30" s="17"/>
      <c r="P30" s="87">
        <f t="shared" si="8"/>
        <v>595</v>
      </c>
      <c r="Q30" s="87">
        <f t="shared" si="10"/>
        <v>1421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117533</v>
      </c>
      <c r="J31" s="10"/>
      <c r="K31" s="17"/>
      <c r="L31" s="81"/>
      <c r="M31" s="17"/>
      <c r="N31" s="82">
        <f t="shared" si="9"/>
        <v>830</v>
      </c>
      <c r="O31" s="17"/>
      <c r="P31" s="87">
        <f t="shared" si="8"/>
        <v>591</v>
      </c>
      <c r="Q31" s="87">
        <f t="shared" si="10"/>
        <v>1421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116699</v>
      </c>
      <c r="J32" s="10"/>
      <c r="K32" s="17"/>
      <c r="L32" s="81"/>
      <c r="M32" s="17"/>
      <c r="N32" s="82">
        <f t="shared" si="9"/>
        <v>834</v>
      </c>
      <c r="O32" s="17"/>
      <c r="P32" s="87">
        <f t="shared" si="8"/>
        <v>587</v>
      </c>
      <c r="Q32" s="87">
        <f t="shared" si="10"/>
        <v>1421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115861</v>
      </c>
      <c r="J33" s="10"/>
      <c r="K33" s="17"/>
      <c r="L33" s="81"/>
      <c r="M33" s="17"/>
      <c r="N33" s="82">
        <f t="shared" si="9"/>
        <v>838</v>
      </c>
      <c r="O33" s="17"/>
      <c r="P33" s="87">
        <f t="shared" si="8"/>
        <v>583</v>
      </c>
      <c r="Q33" s="87">
        <f t="shared" si="10"/>
        <v>1421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115019</v>
      </c>
      <c r="J34" s="10"/>
      <c r="K34" s="17"/>
      <c r="L34" s="81"/>
      <c r="M34" s="17"/>
      <c r="N34" s="82">
        <f t="shared" si="9"/>
        <v>842</v>
      </c>
      <c r="O34" s="17"/>
      <c r="P34" s="87">
        <f t="shared" si="8"/>
        <v>579</v>
      </c>
      <c r="Q34" s="87">
        <f t="shared" si="10"/>
        <v>1421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114173</v>
      </c>
      <c r="J35" s="10"/>
      <c r="K35" s="17"/>
      <c r="L35" s="81"/>
      <c r="M35" s="17"/>
      <c r="N35" s="82">
        <f t="shared" si="9"/>
        <v>846</v>
      </c>
      <c r="O35" s="17"/>
      <c r="P35" s="87">
        <f t="shared" si="8"/>
        <v>575</v>
      </c>
      <c r="Q35" s="87">
        <f t="shared" si="10"/>
        <v>1421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113322</v>
      </c>
      <c r="J36" s="10"/>
      <c r="K36" s="17"/>
      <c r="L36" s="81"/>
      <c r="M36" s="17"/>
      <c r="N36" s="82">
        <f t="shared" si="9"/>
        <v>851</v>
      </c>
      <c r="O36" s="17"/>
      <c r="P36" s="87">
        <f t="shared" si="8"/>
        <v>570</v>
      </c>
      <c r="Q36" s="87">
        <f t="shared" si="10"/>
        <v>1421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112467</v>
      </c>
      <c r="J37" s="10"/>
      <c r="K37" s="17"/>
      <c r="L37" s="81"/>
      <c r="M37" s="17"/>
      <c r="N37" s="82">
        <f t="shared" si="9"/>
        <v>855</v>
      </c>
      <c r="O37" s="17"/>
      <c r="P37" s="87">
        <f t="shared" si="8"/>
        <v>566</v>
      </c>
      <c r="Q37" s="87">
        <f t="shared" si="10"/>
        <v>1421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111608</v>
      </c>
      <c r="J38" s="10"/>
      <c r="K38" s="17"/>
      <c r="L38" s="81"/>
      <c r="M38" s="17"/>
      <c r="N38" s="82">
        <f t="shared" si="9"/>
        <v>859</v>
      </c>
      <c r="O38" s="17"/>
      <c r="P38" s="87">
        <f t="shared" si="8"/>
        <v>562</v>
      </c>
      <c r="Q38" s="87">
        <f t="shared" si="10"/>
        <v>1421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110745</v>
      </c>
      <c r="J39" s="10"/>
      <c r="K39" s="17"/>
      <c r="L39" s="81"/>
      <c r="M39" s="17"/>
      <c r="N39" s="82">
        <f t="shared" si="9"/>
        <v>863</v>
      </c>
      <c r="O39" s="17"/>
      <c r="P39" s="87">
        <f t="shared" si="8"/>
        <v>558</v>
      </c>
      <c r="Q39" s="87">
        <f t="shared" si="10"/>
        <v>1421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109877</v>
      </c>
      <c r="J40" s="10"/>
      <c r="K40" s="17"/>
      <c r="L40" s="81"/>
      <c r="M40" s="17"/>
      <c r="N40" s="82">
        <f t="shared" si="9"/>
        <v>868</v>
      </c>
      <c r="O40" s="17"/>
      <c r="P40" s="87">
        <f t="shared" si="8"/>
        <v>553</v>
      </c>
      <c r="Q40" s="87">
        <f t="shared" si="10"/>
        <v>1421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109005</v>
      </c>
      <c r="J41" s="10"/>
      <c r="K41" s="17"/>
      <c r="L41" s="81"/>
      <c r="M41" s="17"/>
      <c r="N41" s="82">
        <f t="shared" si="9"/>
        <v>872</v>
      </c>
      <c r="O41" s="17"/>
      <c r="P41" s="87">
        <f t="shared" si="8"/>
        <v>549</v>
      </c>
      <c r="Q41" s="87">
        <f t="shared" si="10"/>
        <v>1421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108129</v>
      </c>
      <c r="J42" s="10"/>
      <c r="K42" s="17"/>
      <c r="L42" s="81"/>
      <c r="M42" s="17"/>
      <c r="N42" s="82">
        <f t="shared" si="9"/>
        <v>876</v>
      </c>
      <c r="O42" s="17"/>
      <c r="P42" s="87">
        <f t="shared" si="8"/>
        <v>545</v>
      </c>
      <c r="Q42" s="87">
        <f t="shared" si="10"/>
        <v>1421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107248</v>
      </c>
      <c r="J43" s="10"/>
      <c r="K43" s="17"/>
      <c r="L43" s="81"/>
      <c r="M43" s="17"/>
      <c r="N43" s="82">
        <f t="shared" si="9"/>
        <v>881</v>
      </c>
      <c r="O43" s="17"/>
      <c r="P43" s="87">
        <f t="shared" si="8"/>
        <v>540</v>
      </c>
      <c r="Q43" s="87">
        <f t="shared" si="10"/>
        <v>1421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106363</v>
      </c>
      <c r="J44" s="10"/>
      <c r="K44" s="17"/>
      <c r="L44" s="81"/>
      <c r="M44" s="17"/>
      <c r="N44" s="82">
        <f t="shared" si="9"/>
        <v>885</v>
      </c>
      <c r="O44" s="17"/>
      <c r="P44" s="87">
        <f t="shared" si="8"/>
        <v>536</v>
      </c>
      <c r="Q44" s="87">
        <f t="shared" si="10"/>
        <v>1421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105473</v>
      </c>
      <c r="J45" s="10"/>
      <c r="K45" s="17"/>
      <c r="L45" s="81"/>
      <c r="M45" s="17"/>
      <c r="N45" s="82">
        <f t="shared" si="9"/>
        <v>890</v>
      </c>
      <c r="O45" s="17"/>
      <c r="P45" s="87">
        <f t="shared" si="8"/>
        <v>531</v>
      </c>
      <c r="Q45" s="87">
        <f t="shared" si="10"/>
        <v>1421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104579</v>
      </c>
      <c r="J46" s="10"/>
      <c r="K46" s="17"/>
      <c r="L46" s="81"/>
      <c r="M46" s="17"/>
      <c r="N46" s="82">
        <f t="shared" si="9"/>
        <v>894</v>
      </c>
      <c r="O46" s="17"/>
      <c r="P46" s="87">
        <f t="shared" si="8"/>
        <v>527</v>
      </c>
      <c r="Q46" s="87">
        <f t="shared" si="10"/>
        <v>1421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103680</v>
      </c>
      <c r="J47" s="10"/>
      <c r="K47" s="17"/>
      <c r="L47" s="81"/>
      <c r="M47" s="17"/>
      <c r="N47" s="82">
        <f t="shared" si="9"/>
        <v>899</v>
      </c>
      <c r="O47" s="17"/>
      <c r="P47" s="87">
        <f t="shared" si="8"/>
        <v>522</v>
      </c>
      <c r="Q47" s="87">
        <f t="shared" si="10"/>
        <v>1421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102777</v>
      </c>
      <c r="J48" s="10"/>
      <c r="K48" s="17"/>
      <c r="L48" s="81"/>
      <c r="M48" s="17"/>
      <c r="N48" s="82">
        <f t="shared" si="9"/>
        <v>903</v>
      </c>
      <c r="O48" s="17"/>
      <c r="P48" s="87">
        <f t="shared" si="8"/>
        <v>518</v>
      </c>
      <c r="Q48" s="87">
        <f t="shared" si="10"/>
        <v>1421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101869</v>
      </c>
      <c r="J49" s="10"/>
      <c r="K49" s="17"/>
      <c r="L49" s="81"/>
      <c r="M49" s="17"/>
      <c r="N49" s="82">
        <f t="shared" si="9"/>
        <v>908</v>
      </c>
      <c r="O49" s="17"/>
      <c r="P49" s="87">
        <f t="shared" si="8"/>
        <v>513</v>
      </c>
      <c r="Q49" s="87">
        <f t="shared" si="10"/>
        <v>1421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100957</v>
      </c>
      <c r="J50" s="10"/>
      <c r="K50" s="17"/>
      <c r="L50" s="81"/>
      <c r="M50" s="17"/>
      <c r="N50" s="82">
        <f t="shared" si="9"/>
        <v>912</v>
      </c>
      <c r="O50" s="17"/>
      <c r="P50" s="87">
        <f t="shared" si="8"/>
        <v>509</v>
      </c>
      <c r="Q50" s="87">
        <f t="shared" si="10"/>
        <v>1421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100040</v>
      </c>
      <c r="J51" s="10"/>
      <c r="K51" s="17"/>
      <c r="L51" s="81"/>
      <c r="M51" s="17"/>
      <c r="N51" s="82">
        <f t="shared" si="9"/>
        <v>917</v>
      </c>
      <c r="O51" s="17"/>
      <c r="P51" s="87">
        <f t="shared" si="8"/>
        <v>504</v>
      </c>
      <c r="Q51" s="87">
        <f t="shared" si="10"/>
        <v>1421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99119</v>
      </c>
      <c r="J52" s="10"/>
      <c r="K52" s="17"/>
      <c r="L52" s="81"/>
      <c r="M52" s="17"/>
      <c r="N52" s="82">
        <f t="shared" si="9"/>
        <v>921</v>
      </c>
      <c r="O52" s="17"/>
      <c r="P52" s="87">
        <f t="shared" si="8"/>
        <v>500</v>
      </c>
      <c r="Q52" s="87">
        <f t="shared" si="10"/>
        <v>1421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98193</v>
      </c>
      <c r="J53" s="10"/>
      <c r="K53" s="17"/>
      <c r="L53" s="81"/>
      <c r="M53" s="17"/>
      <c r="N53" s="82">
        <f t="shared" si="9"/>
        <v>926</v>
      </c>
      <c r="O53" s="17"/>
      <c r="P53" s="87">
        <f t="shared" si="8"/>
        <v>495</v>
      </c>
      <c r="Q53" s="87">
        <f t="shared" si="10"/>
        <v>1421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97262</v>
      </c>
      <c r="J54" s="10"/>
      <c r="K54" s="17"/>
      <c r="L54" s="81"/>
      <c r="M54" s="17"/>
      <c r="N54" s="82">
        <f t="shared" si="9"/>
        <v>931</v>
      </c>
      <c r="O54" s="17"/>
      <c r="P54" s="87">
        <f t="shared" si="8"/>
        <v>490</v>
      </c>
      <c r="Q54" s="87">
        <f t="shared" si="10"/>
        <v>1421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96327</v>
      </c>
      <c r="J55" s="10"/>
      <c r="K55" s="17"/>
      <c r="L55" s="81"/>
      <c r="M55" s="17"/>
      <c r="N55" s="82">
        <f t="shared" si="9"/>
        <v>935</v>
      </c>
      <c r="O55" s="17"/>
      <c r="P55" s="87">
        <f t="shared" si="8"/>
        <v>486</v>
      </c>
      <c r="Q55" s="87">
        <f t="shared" si="10"/>
        <v>1421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95387</v>
      </c>
      <c r="J56" s="10"/>
      <c r="K56" s="17"/>
      <c r="L56" s="81"/>
      <c r="M56" s="17"/>
      <c r="N56" s="82">
        <f t="shared" si="9"/>
        <v>940</v>
      </c>
      <c r="O56" s="17"/>
      <c r="P56" s="87">
        <f t="shared" si="8"/>
        <v>481</v>
      </c>
      <c r="Q56" s="87">
        <f t="shared" si="10"/>
        <v>1421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94442</v>
      </c>
      <c r="J57" s="10"/>
      <c r="K57" s="17"/>
      <c r="L57" s="81"/>
      <c r="M57" s="17"/>
      <c r="N57" s="82">
        <f t="shared" si="9"/>
        <v>945</v>
      </c>
      <c r="O57" s="17"/>
      <c r="P57" s="87">
        <f t="shared" si="8"/>
        <v>476</v>
      </c>
      <c r="Q57" s="87">
        <f t="shared" si="10"/>
        <v>1421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93493</v>
      </c>
      <c r="J58" s="10"/>
      <c r="K58" s="17"/>
      <c r="L58" s="81"/>
      <c r="M58" s="17"/>
      <c r="N58" s="82">
        <f t="shared" si="9"/>
        <v>949</v>
      </c>
      <c r="O58" s="17"/>
      <c r="P58" s="87">
        <f t="shared" si="8"/>
        <v>472</v>
      </c>
      <c r="Q58" s="87">
        <f t="shared" si="10"/>
        <v>1421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92539</v>
      </c>
      <c r="J59" s="10"/>
      <c r="K59" s="17"/>
      <c r="L59" s="81"/>
      <c r="M59" s="17"/>
      <c r="N59" s="82">
        <f t="shared" si="9"/>
        <v>954</v>
      </c>
      <c r="O59" s="17"/>
      <c r="P59" s="87">
        <f t="shared" si="8"/>
        <v>467</v>
      </c>
      <c r="Q59" s="87">
        <f t="shared" si="10"/>
        <v>1421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91580</v>
      </c>
      <c r="J60" s="10"/>
      <c r="K60" s="17"/>
      <c r="L60" s="81"/>
      <c r="M60" s="17"/>
      <c r="N60" s="82">
        <f t="shared" si="9"/>
        <v>959</v>
      </c>
      <c r="O60" s="17"/>
      <c r="P60" s="87">
        <f t="shared" si="8"/>
        <v>462</v>
      </c>
      <c r="Q60" s="87">
        <f t="shared" si="10"/>
        <v>1421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90616</v>
      </c>
      <c r="J61" s="10"/>
      <c r="K61" s="17"/>
      <c r="L61" s="81"/>
      <c r="M61" s="17"/>
      <c r="N61" s="82">
        <f t="shared" si="9"/>
        <v>964</v>
      </c>
      <c r="O61" s="17"/>
      <c r="P61" s="87">
        <f t="shared" si="8"/>
        <v>457</v>
      </c>
      <c r="Q61" s="87">
        <f t="shared" si="10"/>
        <v>1421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89648</v>
      </c>
      <c r="J62" s="10"/>
      <c r="K62" s="17"/>
      <c r="L62" s="81"/>
      <c r="M62" s="17"/>
      <c r="N62" s="82">
        <f t="shared" si="9"/>
        <v>968</v>
      </c>
      <c r="O62" s="17"/>
      <c r="P62" s="87">
        <f t="shared" si="8"/>
        <v>453</v>
      </c>
      <c r="Q62" s="87">
        <f t="shared" si="10"/>
        <v>1421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88675</v>
      </c>
      <c r="J63" s="10"/>
      <c r="K63" s="17"/>
      <c r="L63" s="81"/>
      <c r="M63" s="17"/>
      <c r="N63" s="82">
        <f t="shared" si="9"/>
        <v>973</v>
      </c>
      <c r="O63" s="17"/>
      <c r="P63" s="87">
        <f t="shared" si="8"/>
        <v>448</v>
      </c>
      <c r="Q63" s="87">
        <f t="shared" si="10"/>
        <v>1421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87697</v>
      </c>
      <c r="J64" s="10"/>
      <c r="K64" s="17"/>
      <c r="L64" s="81"/>
      <c r="M64" s="17"/>
      <c r="N64" s="82">
        <f t="shared" si="9"/>
        <v>978</v>
      </c>
      <c r="O64" s="17"/>
      <c r="P64" s="87">
        <f t="shared" si="8"/>
        <v>443</v>
      </c>
      <c r="Q64" s="87">
        <f t="shared" si="10"/>
        <v>1421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86714</v>
      </c>
      <c r="J65" s="10"/>
      <c r="K65" s="17"/>
      <c r="L65" s="81"/>
      <c r="M65" s="17"/>
      <c r="N65" s="82">
        <f t="shared" si="9"/>
        <v>983</v>
      </c>
      <c r="O65" s="17"/>
      <c r="P65" s="87">
        <f t="shared" si="8"/>
        <v>438</v>
      </c>
      <c r="Q65" s="87">
        <f t="shared" si="10"/>
        <v>1421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85726</v>
      </c>
      <c r="J66" s="10"/>
      <c r="K66" s="17"/>
      <c r="L66" s="81"/>
      <c r="M66" s="17"/>
      <c r="N66" s="82">
        <f t="shared" si="9"/>
        <v>988</v>
      </c>
      <c r="O66" s="17"/>
      <c r="P66" s="87">
        <f t="shared" si="8"/>
        <v>433</v>
      </c>
      <c r="Q66" s="87">
        <f t="shared" si="10"/>
        <v>1421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84733</v>
      </c>
      <c r="J67" s="10"/>
      <c r="K67" s="17"/>
      <c r="L67" s="81"/>
      <c r="M67" s="17"/>
      <c r="N67" s="82">
        <f t="shared" si="9"/>
        <v>993</v>
      </c>
      <c r="O67" s="17"/>
      <c r="P67" s="87">
        <f t="shared" si="8"/>
        <v>428</v>
      </c>
      <c r="Q67" s="87">
        <f t="shared" si="10"/>
        <v>1421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83735</v>
      </c>
      <c r="J68" s="10"/>
      <c r="K68" s="17"/>
      <c r="L68" s="81"/>
      <c r="M68" s="17"/>
      <c r="N68" s="82">
        <f t="shared" si="9"/>
        <v>998</v>
      </c>
      <c r="O68" s="17"/>
      <c r="P68" s="87">
        <f t="shared" si="8"/>
        <v>423</v>
      </c>
      <c r="Q68" s="87">
        <f t="shared" si="10"/>
        <v>1421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82732</v>
      </c>
      <c r="J69" s="10"/>
      <c r="K69" s="17"/>
      <c r="L69" s="81"/>
      <c r="M69" s="17"/>
      <c r="N69" s="82">
        <f t="shared" si="9"/>
        <v>1003</v>
      </c>
      <c r="O69" s="17"/>
      <c r="P69" s="87">
        <f t="shared" si="8"/>
        <v>418</v>
      </c>
      <c r="Q69" s="87">
        <f t="shared" si="10"/>
        <v>1421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81724</v>
      </c>
      <c r="J70" s="10"/>
      <c r="K70" s="17"/>
      <c r="L70" s="90"/>
      <c r="M70" s="91"/>
      <c r="N70" s="82">
        <f t="shared" si="9"/>
        <v>1008</v>
      </c>
      <c r="O70" s="17"/>
      <c r="P70" s="87">
        <f t="shared" si="8"/>
        <v>413</v>
      </c>
      <c r="Q70" s="87">
        <f t="shared" si="10"/>
        <v>1421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80711</v>
      </c>
      <c r="J71" s="10"/>
      <c r="K71" s="17"/>
      <c r="L71" s="90"/>
      <c r="M71" s="91"/>
      <c r="N71" s="82">
        <f t="shared" si="9"/>
        <v>1013</v>
      </c>
      <c r="O71" s="17"/>
      <c r="P71" s="87">
        <f t="shared" si="8"/>
        <v>408</v>
      </c>
      <c r="Q71" s="87">
        <f t="shared" si="10"/>
        <v>1421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79693</v>
      </c>
      <c r="J72" s="10"/>
      <c r="K72" s="17"/>
      <c r="L72" s="90"/>
      <c r="M72" s="91"/>
      <c r="N72" s="82">
        <f t="shared" si="9"/>
        <v>1018</v>
      </c>
      <c r="O72" s="17"/>
      <c r="P72" s="87">
        <f t="shared" si="8"/>
        <v>403</v>
      </c>
      <c r="Q72" s="87">
        <f t="shared" si="10"/>
        <v>1421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78670</v>
      </c>
      <c r="J73" s="10"/>
      <c r="K73" s="17"/>
      <c r="L73" s="90"/>
      <c r="M73" s="91"/>
      <c r="N73" s="82">
        <f t="shared" si="9"/>
        <v>1023</v>
      </c>
      <c r="O73" s="17"/>
      <c r="P73" s="87">
        <f t="shared" si="8"/>
        <v>398</v>
      </c>
      <c r="Q73" s="87">
        <f t="shared" si="10"/>
        <v>1421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77642</v>
      </c>
      <c r="J74" s="10"/>
      <c r="K74" s="17"/>
      <c r="L74" s="90"/>
      <c r="M74" s="91"/>
      <c r="N74" s="82">
        <f t="shared" si="9"/>
        <v>1028</v>
      </c>
      <c r="O74" s="17"/>
      <c r="P74" s="87">
        <f t="shared" si="8"/>
        <v>393</v>
      </c>
      <c r="Q74" s="87">
        <f t="shared" si="10"/>
        <v>1421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24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76609</v>
      </c>
      <c r="J75" s="10"/>
      <c r="K75" s="17"/>
      <c r="L75" s="90"/>
      <c r="M75" s="91"/>
      <c r="N75" s="82">
        <f t="shared" si="9"/>
        <v>1033</v>
      </c>
      <c r="O75" s="17"/>
      <c r="P75" s="87">
        <f t="shared" si="8"/>
        <v>388</v>
      </c>
      <c r="Q75" s="87">
        <f t="shared" si="10"/>
        <v>1421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75571</v>
      </c>
      <c r="J76" s="10"/>
      <c r="K76" s="17"/>
      <c r="L76" s="90"/>
      <c r="M76" s="91"/>
      <c r="N76" s="82">
        <f t="shared" si="9"/>
        <v>1038</v>
      </c>
      <c r="O76" s="17"/>
      <c r="P76" s="87">
        <f t="shared" si="8"/>
        <v>383</v>
      </c>
      <c r="Q76" s="87">
        <f t="shared" si="10"/>
        <v>1421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74527</v>
      </c>
      <c r="J77" s="10"/>
      <c r="K77" s="17"/>
      <c r="L77" s="90"/>
      <c r="M77" s="91"/>
      <c r="N77" s="82">
        <f t="shared" si="9"/>
        <v>1044</v>
      </c>
      <c r="O77" s="17"/>
      <c r="P77" s="87">
        <f t="shared" si="8"/>
        <v>377</v>
      </c>
      <c r="Q77" s="87">
        <f t="shared" si="10"/>
        <v>1421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73478</v>
      </c>
      <c r="J78" s="10"/>
      <c r="K78" s="17"/>
      <c r="L78" s="81"/>
      <c r="M78" s="17"/>
      <c r="N78" s="82">
        <f t="shared" si="9"/>
        <v>1049</v>
      </c>
      <c r="O78" s="17"/>
      <c r="P78" s="87">
        <f t="shared" si="8"/>
        <v>372</v>
      </c>
      <c r="Q78" s="87">
        <f t="shared" si="10"/>
        <v>1421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72424</v>
      </c>
      <c r="J79" s="10"/>
      <c r="K79" s="17"/>
      <c r="L79" s="81"/>
      <c r="M79" s="17"/>
      <c r="N79" s="82">
        <f t="shared" si="9"/>
        <v>1054</v>
      </c>
      <c r="O79" s="17"/>
      <c r="P79" s="87">
        <f t="shared" si="8"/>
        <v>367</v>
      </c>
      <c r="Q79" s="87">
        <f t="shared" si="10"/>
        <v>1421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71365</v>
      </c>
      <c r="J80" s="10"/>
      <c r="K80" s="17"/>
      <c r="L80" s="81"/>
      <c r="M80" s="17"/>
      <c r="N80" s="82">
        <f t="shared" si="9"/>
        <v>1059</v>
      </c>
      <c r="O80" s="17"/>
      <c r="P80" s="87">
        <f t="shared" si="8"/>
        <v>362</v>
      </c>
      <c r="Q80" s="87">
        <f t="shared" si="10"/>
        <v>1421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70300</v>
      </c>
      <c r="J81" s="10"/>
      <c r="K81" s="17"/>
      <c r="L81" s="81"/>
      <c r="M81" s="17"/>
      <c r="N81" s="82">
        <f t="shared" si="9"/>
        <v>1065</v>
      </c>
      <c r="O81" s="17"/>
      <c r="P81" s="87">
        <f t="shared" si="8"/>
        <v>356</v>
      </c>
      <c r="Q81" s="87">
        <f t="shared" si="10"/>
        <v>1421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69230</v>
      </c>
      <c r="J82" s="10"/>
      <c r="K82" s="17"/>
      <c r="L82" s="81"/>
      <c r="M82" s="17"/>
      <c r="N82" s="82">
        <f t="shared" si="9"/>
        <v>1070</v>
      </c>
      <c r="O82" s="17"/>
      <c r="P82" s="87">
        <f t="shared" si="8"/>
        <v>351</v>
      </c>
      <c r="Q82" s="87">
        <f t="shared" si="10"/>
        <v>1421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68155</v>
      </c>
      <c r="J83" s="10"/>
      <c r="K83" s="17"/>
      <c r="L83" s="81"/>
      <c r="M83" s="17"/>
      <c r="N83" s="82">
        <f t="shared" si="9"/>
        <v>1075</v>
      </c>
      <c r="O83" s="17"/>
      <c r="P83" s="87">
        <f t="shared" si="8"/>
        <v>346</v>
      </c>
      <c r="Q83" s="87">
        <f t="shared" si="10"/>
        <v>1421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67074</v>
      </c>
      <c r="J84" s="10"/>
      <c r="K84" s="17"/>
      <c r="L84" s="81"/>
      <c r="M84" s="17"/>
      <c r="N84" s="82">
        <f t="shared" si="9"/>
        <v>1081</v>
      </c>
      <c r="O84" s="17"/>
      <c r="P84" s="87">
        <f t="shared" si="8"/>
        <v>340</v>
      </c>
      <c r="Q84" s="87">
        <f t="shared" si="10"/>
        <v>1421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65988</v>
      </c>
      <c r="J85" s="10"/>
      <c r="K85" s="17"/>
      <c r="L85" s="81"/>
      <c r="M85" s="17"/>
      <c r="N85" s="82">
        <f t="shared" si="9"/>
        <v>1086</v>
      </c>
      <c r="O85" s="17"/>
      <c r="P85" s="87">
        <f t="shared" si="8"/>
        <v>335</v>
      </c>
      <c r="Q85" s="87">
        <f t="shared" si="10"/>
        <v>1421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64896</v>
      </c>
      <c r="J86" s="10"/>
      <c r="K86" s="17"/>
      <c r="L86" s="81"/>
      <c r="M86" s="17"/>
      <c r="N86" s="82">
        <f t="shared" si="9"/>
        <v>1092</v>
      </c>
      <c r="O86" s="17"/>
      <c r="P86" s="87">
        <f t="shared" si="8"/>
        <v>329</v>
      </c>
      <c r="Q86" s="87">
        <f t="shared" si="10"/>
        <v>1421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63799</v>
      </c>
      <c r="J87" s="10"/>
      <c r="K87" s="17"/>
      <c r="L87" s="81"/>
      <c r="M87" s="17"/>
      <c r="N87" s="82">
        <f t="shared" si="9"/>
        <v>1097</v>
      </c>
      <c r="O87" s="17"/>
      <c r="P87" s="87">
        <f t="shared" si="8"/>
        <v>324</v>
      </c>
      <c r="Q87" s="87">
        <f t="shared" si="10"/>
        <v>1421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62696</v>
      </c>
      <c r="J88" s="10"/>
      <c r="K88" s="17"/>
      <c r="L88" s="81"/>
      <c r="M88" s="17"/>
      <c r="N88" s="82">
        <f t="shared" si="9"/>
        <v>1103</v>
      </c>
      <c r="O88" s="17"/>
      <c r="P88" s="87">
        <f t="shared" si="8"/>
        <v>318</v>
      </c>
      <c r="Q88" s="87">
        <f t="shared" si="10"/>
        <v>1421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61588</v>
      </c>
      <c r="J89" s="10"/>
      <c r="K89" s="17"/>
      <c r="L89" s="81"/>
      <c r="M89" s="17"/>
      <c r="N89" s="82">
        <f t="shared" si="9"/>
        <v>1108</v>
      </c>
      <c r="O89" s="17"/>
      <c r="P89" s="87">
        <f t="shared" si="8"/>
        <v>313</v>
      </c>
      <c r="Q89" s="87">
        <f t="shared" si="10"/>
        <v>1421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60474</v>
      </c>
      <c r="J90" s="10"/>
      <c r="K90" s="17"/>
      <c r="L90" s="81"/>
      <c r="M90" s="17"/>
      <c r="N90" s="82">
        <f t="shared" si="9"/>
        <v>1114</v>
      </c>
      <c r="O90" s="17"/>
      <c r="P90" s="87">
        <f t="shared" si="8"/>
        <v>307</v>
      </c>
      <c r="Q90" s="87">
        <f t="shared" si="10"/>
        <v>1421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59355</v>
      </c>
      <c r="J91" s="10"/>
      <c r="K91" s="17"/>
      <c r="L91" s="81"/>
      <c r="M91" s="17"/>
      <c r="N91" s="82">
        <f t="shared" si="9"/>
        <v>1119</v>
      </c>
      <c r="O91" s="17"/>
      <c r="P91" s="87">
        <f t="shared" si="8"/>
        <v>302</v>
      </c>
      <c r="Q91" s="87">
        <f t="shared" si="10"/>
        <v>1421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58230</v>
      </c>
      <c r="J92" s="10"/>
      <c r="K92" s="17"/>
      <c r="L92" s="81"/>
      <c r="M92" s="17"/>
      <c r="N92" s="82">
        <f t="shared" si="9"/>
        <v>1125</v>
      </c>
      <c r="O92" s="17"/>
      <c r="P92" s="87">
        <f t="shared" si="8"/>
        <v>296</v>
      </c>
      <c r="Q92" s="87">
        <f t="shared" si="10"/>
        <v>1421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57100</v>
      </c>
      <c r="J93" s="10"/>
      <c r="K93" s="17"/>
      <c r="L93" s="81"/>
      <c r="M93" s="17"/>
      <c r="N93" s="82">
        <f t="shared" si="9"/>
        <v>1130</v>
      </c>
      <c r="O93" s="17"/>
      <c r="P93" s="87">
        <f t="shared" si="8"/>
        <v>291</v>
      </c>
      <c r="Q93" s="87">
        <f t="shared" si="10"/>
        <v>1421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55964</v>
      </c>
      <c r="J94" s="10"/>
      <c r="K94" s="17"/>
      <c r="L94" s="81"/>
      <c r="M94" s="17"/>
      <c r="N94" s="82">
        <f t="shared" si="9"/>
        <v>1136</v>
      </c>
      <c r="O94" s="17"/>
      <c r="P94" s="87">
        <f t="shared" si="8"/>
        <v>285</v>
      </c>
      <c r="Q94" s="87">
        <f t="shared" si="10"/>
        <v>1421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54822</v>
      </c>
      <c r="J95" s="10"/>
      <c r="K95" s="17"/>
      <c r="L95" s="81"/>
      <c r="M95" s="17"/>
      <c r="N95" s="82">
        <f t="shared" si="9"/>
        <v>1142</v>
      </c>
      <c r="O95" s="17"/>
      <c r="P95" s="87">
        <f t="shared" si="8"/>
        <v>279</v>
      </c>
      <c r="Q95" s="87">
        <f t="shared" si="10"/>
        <v>1421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53675</v>
      </c>
      <c r="J96" s="10"/>
      <c r="K96" s="17"/>
      <c r="L96" s="81"/>
      <c r="M96" s="17"/>
      <c r="N96" s="82">
        <f t="shared" si="9"/>
        <v>1147</v>
      </c>
      <c r="O96" s="17"/>
      <c r="P96" s="87">
        <f t="shared" si="8"/>
        <v>274</v>
      </c>
      <c r="Q96" s="87">
        <f t="shared" si="10"/>
        <v>1421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52522</v>
      </c>
      <c r="J97" s="10"/>
      <c r="K97" s="17"/>
      <c r="L97" s="81"/>
      <c r="M97" s="17"/>
      <c r="N97" s="82">
        <f t="shared" si="9"/>
        <v>1153</v>
      </c>
      <c r="O97" s="17"/>
      <c r="P97" s="87">
        <f t="shared" si="8"/>
        <v>268</v>
      </c>
      <c r="Q97" s="87">
        <f t="shared" si="10"/>
        <v>1421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51363</v>
      </c>
      <c r="J98" s="10"/>
      <c r="K98" s="17"/>
      <c r="L98" s="81"/>
      <c r="M98" s="17"/>
      <c r="N98" s="82">
        <f t="shared" si="9"/>
        <v>1159</v>
      </c>
      <c r="O98" s="17"/>
      <c r="P98" s="87">
        <f t="shared" si="8"/>
        <v>262</v>
      </c>
      <c r="Q98" s="87">
        <f t="shared" si="10"/>
        <v>1421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50198</v>
      </c>
      <c r="J99" s="10"/>
      <c r="K99" s="17"/>
      <c r="L99" s="81"/>
      <c r="M99" s="17"/>
      <c r="N99" s="82">
        <f t="shared" si="9"/>
        <v>1165</v>
      </c>
      <c r="O99" s="17"/>
      <c r="P99" s="87">
        <f t="shared" si="8"/>
        <v>256</v>
      </c>
      <c r="Q99" s="87">
        <f t="shared" si="10"/>
        <v>1421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49027</v>
      </c>
      <c r="J100" s="10"/>
      <c r="K100" s="17"/>
      <c r="L100" s="81"/>
      <c r="M100" s="17"/>
      <c r="N100" s="82">
        <f t="shared" si="9"/>
        <v>1171</v>
      </c>
      <c r="O100" s="17"/>
      <c r="P100" s="87">
        <f t="shared" si="8"/>
        <v>250</v>
      </c>
      <c r="Q100" s="87">
        <f t="shared" si="10"/>
        <v>1421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47851</v>
      </c>
      <c r="J101" s="10"/>
      <c r="K101" s="17"/>
      <c r="L101" s="81"/>
      <c r="M101" s="17"/>
      <c r="N101" s="82">
        <f t="shared" si="9"/>
        <v>1176</v>
      </c>
      <c r="O101" s="17"/>
      <c r="P101" s="87">
        <f t="shared" si="8"/>
        <v>245</v>
      </c>
      <c r="Q101" s="87">
        <f t="shared" si="10"/>
        <v>1421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46669</v>
      </c>
      <c r="J102" s="10"/>
      <c r="K102" s="17"/>
      <c r="L102" s="81"/>
      <c r="M102" s="17"/>
      <c r="N102" s="82">
        <f t="shared" si="9"/>
        <v>1182</v>
      </c>
      <c r="O102" s="17"/>
      <c r="P102" s="87">
        <f t="shared" si="8"/>
        <v>239</v>
      </c>
      <c r="Q102" s="87">
        <f t="shared" si="10"/>
        <v>1421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45481</v>
      </c>
      <c r="J103" s="10"/>
      <c r="K103" s="17"/>
      <c r="L103" s="81"/>
      <c r="M103" s="17"/>
      <c r="N103" s="82">
        <f t="shared" si="9"/>
        <v>1188</v>
      </c>
      <c r="O103" s="17"/>
      <c r="P103" s="87">
        <f t="shared" si="8"/>
        <v>233</v>
      </c>
      <c r="Q103" s="87">
        <f t="shared" si="10"/>
        <v>1421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44287</v>
      </c>
      <c r="J104" s="10"/>
      <c r="K104" s="17"/>
      <c r="L104" s="81"/>
      <c r="M104" s="17"/>
      <c r="N104" s="82">
        <f t="shared" si="9"/>
        <v>1194</v>
      </c>
      <c r="O104" s="17"/>
      <c r="P104" s="87">
        <f t="shared" si="8"/>
        <v>227</v>
      </c>
      <c r="Q104" s="87">
        <f t="shared" si="10"/>
        <v>1421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43087</v>
      </c>
      <c r="J105" s="10"/>
      <c r="K105" s="17"/>
      <c r="L105" s="81"/>
      <c r="M105" s="17"/>
      <c r="N105" s="82">
        <f t="shared" si="9"/>
        <v>1200</v>
      </c>
      <c r="O105" s="17"/>
      <c r="P105" s="87">
        <f t="shared" si="8"/>
        <v>221</v>
      </c>
      <c r="Q105" s="87">
        <f t="shared" si="10"/>
        <v>1421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41881</v>
      </c>
      <c r="J106" s="10"/>
      <c r="K106" s="17"/>
      <c r="L106" s="81"/>
      <c r="M106" s="17"/>
      <c r="N106" s="82">
        <f t="shared" si="9"/>
        <v>1206</v>
      </c>
      <c r="O106" s="17"/>
      <c r="P106" s="87">
        <f t="shared" si="8"/>
        <v>215</v>
      </c>
      <c r="Q106" s="87">
        <f t="shared" si="10"/>
        <v>1421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40669</v>
      </c>
      <c r="J107" s="10"/>
      <c r="K107" s="17"/>
      <c r="L107" s="81"/>
      <c r="M107" s="17"/>
      <c r="N107" s="82">
        <f t="shared" si="9"/>
        <v>1212</v>
      </c>
      <c r="O107" s="17"/>
      <c r="P107" s="87">
        <f t="shared" si="8"/>
        <v>209</v>
      </c>
      <c r="Q107" s="87">
        <f t="shared" si="10"/>
        <v>1421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39451</v>
      </c>
      <c r="J108" s="10"/>
      <c r="K108" s="17"/>
      <c r="L108" s="81"/>
      <c r="M108" s="17"/>
      <c r="N108" s="82">
        <f t="shared" si="9"/>
        <v>1218</v>
      </c>
      <c r="O108" s="17"/>
      <c r="P108" s="87">
        <f t="shared" si="8"/>
        <v>203</v>
      </c>
      <c r="Q108" s="87">
        <f t="shared" si="10"/>
        <v>1421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38227</v>
      </c>
      <c r="J109" s="10"/>
      <c r="K109" s="17"/>
      <c r="L109" s="81"/>
      <c r="M109" s="17"/>
      <c r="N109" s="82">
        <f t="shared" si="9"/>
        <v>1224</v>
      </c>
      <c r="O109" s="17"/>
      <c r="P109" s="87">
        <f t="shared" si="8"/>
        <v>197</v>
      </c>
      <c r="Q109" s="87">
        <f t="shared" si="10"/>
        <v>1421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36997</v>
      </c>
      <c r="J110" s="10"/>
      <c r="K110" s="17"/>
      <c r="L110" s="81"/>
      <c r="M110" s="17"/>
      <c r="N110" s="82">
        <f t="shared" si="9"/>
        <v>1230</v>
      </c>
      <c r="O110" s="17"/>
      <c r="P110" s="87">
        <f t="shared" si="8"/>
        <v>191</v>
      </c>
      <c r="Q110" s="87">
        <f t="shared" si="10"/>
        <v>1421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35760</v>
      </c>
      <c r="J111" s="10"/>
      <c r="K111" s="17"/>
      <c r="L111" s="81"/>
      <c r="M111" s="17"/>
      <c r="N111" s="82">
        <f t="shared" si="9"/>
        <v>1237</v>
      </c>
      <c r="O111" s="17"/>
      <c r="P111" s="87">
        <f t="shared" si="8"/>
        <v>184</v>
      </c>
      <c r="Q111" s="87">
        <f t="shared" si="10"/>
        <v>1421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34517</v>
      </c>
      <c r="J112" s="10"/>
      <c r="K112" s="17"/>
      <c r="L112" s="81"/>
      <c r="M112" s="17"/>
      <c r="N112" s="82">
        <f t="shared" si="9"/>
        <v>1243</v>
      </c>
      <c r="O112" s="17"/>
      <c r="P112" s="87">
        <f t="shared" si="8"/>
        <v>178</v>
      </c>
      <c r="Q112" s="87">
        <f t="shared" si="10"/>
        <v>1421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33268</v>
      </c>
      <c r="J113" s="10"/>
      <c r="K113" s="17"/>
      <c r="L113" s="81"/>
      <c r="M113" s="17"/>
      <c r="N113" s="82">
        <f t="shared" si="9"/>
        <v>1249</v>
      </c>
      <c r="O113" s="17"/>
      <c r="P113" s="87">
        <f t="shared" si="8"/>
        <v>172</v>
      </c>
      <c r="Q113" s="87">
        <f t="shared" si="10"/>
        <v>1421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32013</v>
      </c>
      <c r="J114" s="10"/>
      <c r="K114" s="17"/>
      <c r="L114" s="81"/>
      <c r="M114" s="17"/>
      <c r="N114" s="82">
        <f t="shared" si="9"/>
        <v>1255</v>
      </c>
      <c r="O114" s="17"/>
      <c r="P114" s="87">
        <f t="shared" si="8"/>
        <v>166</v>
      </c>
      <c r="Q114" s="87">
        <f t="shared" si="10"/>
        <v>1421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30752</v>
      </c>
      <c r="J115" s="10"/>
      <c r="K115" s="17"/>
      <c r="L115" s="81"/>
      <c r="M115" s="17"/>
      <c r="N115" s="82">
        <f t="shared" si="9"/>
        <v>1261</v>
      </c>
      <c r="O115" s="17"/>
      <c r="P115" s="87">
        <f t="shared" si="8"/>
        <v>160</v>
      </c>
      <c r="Q115" s="87">
        <f t="shared" si="10"/>
        <v>1421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29484</v>
      </c>
      <c r="J116" s="10"/>
      <c r="K116" s="17"/>
      <c r="L116" s="81"/>
      <c r="M116" s="17"/>
      <c r="N116" s="82">
        <f t="shared" si="9"/>
        <v>1268</v>
      </c>
      <c r="O116" s="17"/>
      <c r="P116" s="87">
        <f t="shared" si="8"/>
        <v>153</v>
      </c>
      <c r="Q116" s="87">
        <f t="shared" si="10"/>
        <v>1421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28210</v>
      </c>
      <c r="J117" s="10"/>
      <c r="K117" s="17"/>
      <c r="L117" s="81"/>
      <c r="M117" s="17"/>
      <c r="N117" s="82">
        <f t="shared" si="9"/>
        <v>1274</v>
      </c>
      <c r="O117" s="17"/>
      <c r="P117" s="87">
        <f t="shared" si="8"/>
        <v>147</v>
      </c>
      <c r="Q117" s="87">
        <f t="shared" si="10"/>
        <v>1421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26930</v>
      </c>
      <c r="J118" s="10"/>
      <c r="K118" s="17"/>
      <c r="L118" s="81"/>
      <c r="M118" s="17"/>
      <c r="N118" s="82">
        <f t="shared" si="9"/>
        <v>1280</v>
      </c>
      <c r="O118" s="17"/>
      <c r="P118" s="87">
        <f t="shared" si="8"/>
        <v>141</v>
      </c>
      <c r="Q118" s="87">
        <f t="shared" si="10"/>
        <v>1421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25643</v>
      </c>
      <c r="J119" s="10"/>
      <c r="K119" s="17"/>
      <c r="L119" s="81"/>
      <c r="M119" s="17"/>
      <c r="N119" s="82">
        <f t="shared" si="9"/>
        <v>1287</v>
      </c>
      <c r="O119" s="17"/>
      <c r="P119" s="87">
        <f t="shared" si="8"/>
        <v>134</v>
      </c>
      <c r="Q119" s="87">
        <f t="shared" si="10"/>
        <v>1421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24350</v>
      </c>
      <c r="J120" s="10"/>
      <c r="K120" s="17"/>
      <c r="L120" s="81"/>
      <c r="M120" s="17"/>
      <c r="N120" s="82">
        <f t="shared" si="9"/>
        <v>1293</v>
      </c>
      <c r="O120" s="17"/>
      <c r="P120" s="87">
        <f t="shared" si="8"/>
        <v>128</v>
      </c>
      <c r="Q120" s="87">
        <f t="shared" si="10"/>
        <v>1421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23050</v>
      </c>
      <c r="J121" s="10"/>
      <c r="K121" s="17"/>
      <c r="L121" s="81"/>
      <c r="M121" s="17"/>
      <c r="N121" s="82">
        <f t="shared" si="9"/>
        <v>1300</v>
      </c>
      <c r="O121" s="17"/>
      <c r="P121" s="87">
        <f t="shared" si="8"/>
        <v>121</v>
      </c>
      <c r="Q121" s="87">
        <f t="shared" si="10"/>
        <v>1421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21744</v>
      </c>
      <c r="J122" s="10"/>
      <c r="K122" s="17"/>
      <c r="L122" s="81"/>
      <c r="M122" s="17"/>
      <c r="N122" s="82">
        <f t="shared" si="9"/>
        <v>1306</v>
      </c>
      <c r="O122" s="17"/>
      <c r="P122" s="87">
        <f t="shared" si="8"/>
        <v>115</v>
      </c>
      <c r="Q122" s="87">
        <f t="shared" si="10"/>
        <v>1421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20431</v>
      </c>
      <c r="J123" s="10"/>
      <c r="K123" s="17"/>
      <c r="L123" s="81"/>
      <c r="M123" s="17"/>
      <c r="N123" s="82">
        <f t="shared" si="9"/>
        <v>1313</v>
      </c>
      <c r="O123" s="17"/>
      <c r="P123" s="87">
        <f t="shared" si="8"/>
        <v>108</v>
      </c>
      <c r="Q123" s="87">
        <f t="shared" si="10"/>
        <v>1421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19112</v>
      </c>
      <c r="J124" s="10"/>
      <c r="K124" s="17"/>
      <c r="L124" s="81"/>
      <c r="M124" s="17"/>
      <c r="N124" s="82">
        <f t="shared" si="9"/>
        <v>1319</v>
      </c>
      <c r="O124" s="17"/>
      <c r="P124" s="87">
        <f t="shared" si="8"/>
        <v>102</v>
      </c>
      <c r="Q124" s="87">
        <f t="shared" si="10"/>
        <v>1421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17786</v>
      </c>
      <c r="J125" s="10"/>
      <c r="K125" s="17"/>
      <c r="L125" s="81"/>
      <c r="M125" s="17"/>
      <c r="N125" s="82">
        <f t="shared" si="9"/>
        <v>1326</v>
      </c>
      <c r="O125" s="17"/>
      <c r="P125" s="87">
        <f t="shared" si="8"/>
        <v>95</v>
      </c>
      <c r="Q125" s="87">
        <f t="shared" si="10"/>
        <v>1421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16453</v>
      </c>
      <c r="J126" s="10"/>
      <c r="K126" s="17"/>
      <c r="L126" s="81"/>
      <c r="M126" s="17"/>
      <c r="N126" s="82">
        <f t="shared" si="9"/>
        <v>1333</v>
      </c>
      <c r="O126" s="17"/>
      <c r="P126" s="87">
        <f t="shared" si="8"/>
        <v>88</v>
      </c>
      <c r="Q126" s="87">
        <f t="shared" si="10"/>
        <v>1421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15114</v>
      </c>
      <c r="J127" s="10"/>
      <c r="K127" s="17"/>
      <c r="L127" s="81"/>
      <c r="M127" s="17"/>
      <c r="N127" s="82">
        <f t="shared" si="9"/>
        <v>1339</v>
      </c>
      <c r="O127" s="17"/>
      <c r="P127" s="87">
        <f t="shared" si="8"/>
        <v>82</v>
      </c>
      <c r="Q127" s="87">
        <f t="shared" si="10"/>
        <v>1421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13768</v>
      </c>
      <c r="J128" s="10"/>
      <c r="K128" s="17"/>
      <c r="L128" s="81"/>
      <c r="M128" s="17"/>
      <c r="N128" s="82">
        <f t="shared" si="9"/>
        <v>1346</v>
      </c>
      <c r="O128" s="17"/>
      <c r="P128" s="87">
        <f t="shared" si="8"/>
        <v>75</v>
      </c>
      <c r="Q128" s="87">
        <f t="shared" si="10"/>
        <v>1421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12415</v>
      </c>
      <c r="J129" s="10"/>
      <c r="K129" s="17"/>
      <c r="L129" s="81"/>
      <c r="M129" s="17"/>
      <c r="N129" s="82">
        <f t="shared" si="9"/>
        <v>1353</v>
      </c>
      <c r="O129" s="17"/>
      <c r="P129" s="87">
        <f t="shared" si="8"/>
        <v>68</v>
      </c>
      <c r="Q129" s="87">
        <f t="shared" si="10"/>
        <v>1421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11056</v>
      </c>
      <c r="J130" s="10"/>
      <c r="K130" s="17"/>
      <c r="L130" s="81"/>
      <c r="M130" s="17"/>
      <c r="N130" s="82">
        <f t="shared" si="9"/>
        <v>1359</v>
      </c>
      <c r="O130" s="17"/>
      <c r="P130" s="87">
        <f t="shared" si="8"/>
        <v>62</v>
      </c>
      <c r="Q130" s="87">
        <f t="shared" si="10"/>
        <v>1421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9690</v>
      </c>
      <c r="J131" s="10"/>
      <c r="K131" s="17"/>
      <c r="L131" s="81"/>
      <c r="M131" s="17"/>
      <c r="N131" s="82">
        <f t="shared" si="9"/>
        <v>1366</v>
      </c>
      <c r="O131" s="17"/>
      <c r="P131" s="87">
        <f t="shared" si="8"/>
        <v>55</v>
      </c>
      <c r="Q131" s="87">
        <f t="shared" si="10"/>
        <v>1421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8317</v>
      </c>
      <c r="J132" s="10"/>
      <c r="K132" s="17"/>
      <c r="L132" s="81"/>
      <c r="M132" s="17"/>
      <c r="N132" s="82">
        <f t="shared" si="9"/>
        <v>1373</v>
      </c>
      <c r="O132" s="17"/>
      <c r="P132" s="87">
        <f t="shared" si="8"/>
        <v>48</v>
      </c>
      <c r="Q132" s="87">
        <f t="shared" si="10"/>
        <v>1421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6937</v>
      </c>
      <c r="J133" s="10"/>
      <c r="K133" s="17"/>
      <c r="L133" s="81"/>
      <c r="M133" s="17"/>
      <c r="N133" s="82">
        <f t="shared" si="9"/>
        <v>1380</v>
      </c>
      <c r="O133" s="17"/>
      <c r="P133" s="87">
        <f t="shared" si="8"/>
        <v>41</v>
      </c>
      <c r="Q133" s="87">
        <f t="shared" si="10"/>
        <v>1421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5550</v>
      </c>
      <c r="J134" s="10"/>
      <c r="K134" s="17"/>
      <c r="L134" s="81"/>
      <c r="M134" s="17"/>
      <c r="N134" s="82">
        <f t="shared" si="9"/>
        <v>1387</v>
      </c>
      <c r="O134" s="17"/>
      <c r="P134" s="87">
        <f t="shared" si="8"/>
        <v>34</v>
      </c>
      <c r="Q134" s="87">
        <f t="shared" si="10"/>
        <v>1421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4156</v>
      </c>
      <c r="J135" s="10"/>
      <c r="K135" s="17"/>
      <c r="L135" s="81"/>
      <c r="M135" s="17"/>
      <c r="N135" s="82">
        <f t="shared" si="9"/>
        <v>1394</v>
      </c>
      <c r="O135" s="17"/>
      <c r="P135" s="87">
        <f t="shared" si="8"/>
        <v>27</v>
      </c>
      <c r="Q135" s="87">
        <f t="shared" si="10"/>
        <v>1421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2755</v>
      </c>
      <c r="J136" s="10"/>
      <c r="K136" s="17"/>
      <c r="L136" s="81"/>
      <c r="M136" s="17"/>
      <c r="N136" s="82">
        <f t="shared" si="9"/>
        <v>1401</v>
      </c>
      <c r="O136" s="17"/>
      <c r="P136" s="87">
        <f t="shared" si="8"/>
        <v>20</v>
      </c>
      <c r="Q136" s="87">
        <f t="shared" si="10"/>
        <v>1421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1347</v>
      </c>
      <c r="J137" s="10"/>
      <c r="K137" s="17"/>
      <c r="L137" s="81"/>
      <c r="M137" s="17"/>
      <c r="N137" s="82">
        <f t="shared" si="9"/>
        <v>1408</v>
      </c>
      <c r="O137" s="17"/>
      <c r="P137" s="87">
        <f t="shared" si="8"/>
        <v>13</v>
      </c>
      <c r="Q137" s="87">
        <f t="shared" si="10"/>
        <v>1421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1347</v>
      </c>
      <c r="O138" s="17"/>
      <c r="P138" s="87">
        <f t="shared" si="8"/>
        <v>6</v>
      </c>
      <c r="Q138" s="87">
        <f t="shared" si="10"/>
        <v>1353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76" t="str">
        <f t="shared" si="4"/>
        <v>0</v>
      </c>
      <c r="F139" s="77">
        <f t="shared" si="12"/>
        <v>1</v>
      </c>
      <c r="G139" s="78" t="str">
        <f t="shared" si="2"/>
        <v>Ene</v>
      </c>
      <c r="H139" s="79">
        <f t="shared" si="6"/>
        <v>2036</v>
      </c>
      <c r="I139" s="80" t="str">
        <f t="shared" si="7"/>
        <v>0</v>
      </c>
      <c r="J139" s="10"/>
      <c r="K139" s="17"/>
      <c r="L139" s="81"/>
      <c r="M139" s="17"/>
      <c r="N139" s="82">
        <f t="shared" si="9"/>
        <v>0</v>
      </c>
      <c r="O139" s="17"/>
      <c r="P139" s="87">
        <f t="shared" si="8"/>
        <v>0</v>
      </c>
      <c r="Q139" s="87">
        <f t="shared" si="10"/>
        <v>0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76" t="str">
        <f t="shared" si="4"/>
        <v>0</v>
      </c>
      <c r="F140" s="77">
        <f t="shared" si="12"/>
        <v>1</v>
      </c>
      <c r="G140" s="78" t="str">
        <f t="shared" si="2"/>
        <v>Feb</v>
      </c>
      <c r="H140" s="79">
        <f t="shared" si="6"/>
        <v>2036</v>
      </c>
      <c r="I140" s="80" t="str">
        <f t="shared" si="7"/>
        <v>0</v>
      </c>
      <c r="J140" s="10"/>
      <c r="K140" s="17"/>
      <c r="L140" s="81"/>
      <c r="M140" s="17"/>
      <c r="N140" s="82">
        <f t="shared" si="9"/>
        <v>0</v>
      </c>
      <c r="O140" s="17"/>
      <c r="P140" s="87">
        <f t="shared" si="8"/>
        <v>0</v>
      </c>
      <c r="Q140" s="87">
        <f t="shared" si="10"/>
        <v>0</v>
      </c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76" t="str">
        <f t="shared" si="4"/>
        <v>0</v>
      </c>
      <c r="F141" s="77">
        <f t="shared" si="12"/>
        <v>1</v>
      </c>
      <c r="G141" s="78" t="str">
        <f t="shared" si="2"/>
        <v>Mar</v>
      </c>
      <c r="H141" s="79">
        <f t="shared" si="6"/>
        <v>2036</v>
      </c>
      <c r="I141" s="80" t="str">
        <f t="shared" si="7"/>
        <v>0</v>
      </c>
      <c r="J141" s="10"/>
      <c r="K141" s="17"/>
      <c r="L141" s="81"/>
      <c r="M141" s="17"/>
      <c r="N141" s="82">
        <f t="shared" si="9"/>
        <v>0</v>
      </c>
      <c r="O141" s="17"/>
      <c r="P141" s="87">
        <f t="shared" si="8"/>
        <v>0</v>
      </c>
      <c r="Q141" s="87">
        <f t="shared" si="10"/>
        <v>0</v>
      </c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76" t="str">
        <f t="shared" si="4"/>
        <v>0</v>
      </c>
      <c r="F142" s="77">
        <f t="shared" si="12"/>
        <v>1</v>
      </c>
      <c r="G142" s="78" t="str">
        <f t="shared" si="2"/>
        <v>Abr</v>
      </c>
      <c r="H142" s="79">
        <f t="shared" si="6"/>
        <v>2036</v>
      </c>
      <c r="I142" s="80" t="str">
        <f t="shared" si="7"/>
        <v>0</v>
      </c>
      <c r="J142" s="10"/>
      <c r="K142" s="17"/>
      <c r="L142" s="81"/>
      <c r="M142" s="17"/>
      <c r="N142" s="82">
        <f t="shared" si="9"/>
        <v>0</v>
      </c>
      <c r="O142" s="17"/>
      <c r="P142" s="87">
        <f t="shared" si="8"/>
        <v>0</v>
      </c>
      <c r="Q142" s="87">
        <f t="shared" si="10"/>
        <v>0</v>
      </c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76" t="str">
        <f t="shared" si="4"/>
        <v>0</v>
      </c>
      <c r="F143" s="77">
        <f t="shared" si="12"/>
        <v>1</v>
      </c>
      <c r="G143" s="78" t="str">
        <f t="shared" si="2"/>
        <v>May</v>
      </c>
      <c r="H143" s="79">
        <f t="shared" si="6"/>
        <v>2036</v>
      </c>
      <c r="I143" s="80" t="str">
        <f t="shared" si="7"/>
        <v>0</v>
      </c>
      <c r="J143" s="10"/>
      <c r="K143" s="17"/>
      <c r="L143" s="81"/>
      <c r="M143" s="17"/>
      <c r="N143" s="82">
        <f t="shared" si="9"/>
        <v>0</v>
      </c>
      <c r="O143" s="17"/>
      <c r="P143" s="87">
        <f t="shared" si="8"/>
        <v>0</v>
      </c>
      <c r="Q143" s="87">
        <f t="shared" si="10"/>
        <v>0</v>
      </c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76" t="str">
        <f t="shared" si="4"/>
        <v>0</v>
      </c>
      <c r="F144" s="77">
        <f t="shared" si="12"/>
        <v>1</v>
      </c>
      <c r="G144" s="78" t="str">
        <f t="shared" si="2"/>
        <v>Jun</v>
      </c>
      <c r="H144" s="79">
        <f t="shared" si="6"/>
        <v>2036</v>
      </c>
      <c r="I144" s="80" t="str">
        <f t="shared" si="7"/>
        <v>0</v>
      </c>
      <c r="J144" s="10"/>
      <c r="K144" s="17"/>
      <c r="L144" s="81"/>
      <c r="M144" s="17"/>
      <c r="N144" s="82">
        <f t="shared" si="9"/>
        <v>0</v>
      </c>
      <c r="O144" s="17"/>
      <c r="P144" s="87">
        <f t="shared" si="8"/>
        <v>0</v>
      </c>
      <c r="Q144" s="87">
        <f t="shared" si="10"/>
        <v>0</v>
      </c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76" t="str">
        <f t="shared" si="4"/>
        <v>0</v>
      </c>
      <c r="F145" s="77">
        <f t="shared" si="12"/>
        <v>1</v>
      </c>
      <c r="G145" s="78" t="str">
        <f t="shared" si="2"/>
        <v>Jul</v>
      </c>
      <c r="H145" s="79">
        <f t="shared" si="6"/>
        <v>2036</v>
      </c>
      <c r="I145" s="80" t="str">
        <f t="shared" si="7"/>
        <v>0</v>
      </c>
      <c r="J145" s="10"/>
      <c r="K145" s="17"/>
      <c r="L145" s="81"/>
      <c r="M145" s="17"/>
      <c r="N145" s="82">
        <f t="shared" si="9"/>
        <v>0</v>
      </c>
      <c r="O145" s="17"/>
      <c r="P145" s="87">
        <f t="shared" si="8"/>
        <v>0</v>
      </c>
      <c r="Q145" s="87">
        <f t="shared" si="10"/>
        <v>0</v>
      </c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76" t="str">
        <f t="shared" si="4"/>
        <v>0</v>
      </c>
      <c r="F146" s="77">
        <f t="shared" si="12"/>
        <v>1</v>
      </c>
      <c r="G146" s="78" t="str">
        <f t="shared" si="2"/>
        <v>Ago</v>
      </c>
      <c r="H146" s="79">
        <f t="shared" si="6"/>
        <v>2036</v>
      </c>
      <c r="I146" s="80" t="str">
        <f t="shared" si="7"/>
        <v>0</v>
      </c>
      <c r="J146" s="10"/>
      <c r="K146" s="17"/>
      <c r="L146" s="81"/>
      <c r="M146" s="17"/>
      <c r="N146" s="82">
        <f t="shared" si="9"/>
        <v>0</v>
      </c>
      <c r="O146" s="17"/>
      <c r="P146" s="87">
        <f t="shared" si="8"/>
        <v>0</v>
      </c>
      <c r="Q146" s="87">
        <f t="shared" si="10"/>
        <v>0</v>
      </c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76" t="str">
        <f t="shared" si="4"/>
        <v>0</v>
      </c>
      <c r="F147" s="77">
        <f t="shared" si="12"/>
        <v>1</v>
      </c>
      <c r="G147" s="78" t="str">
        <f t="shared" si="2"/>
        <v>Sep</v>
      </c>
      <c r="H147" s="79">
        <f t="shared" si="6"/>
        <v>2036</v>
      </c>
      <c r="I147" s="80" t="str">
        <f t="shared" si="7"/>
        <v>0</v>
      </c>
      <c r="J147" s="10"/>
      <c r="K147" s="17"/>
      <c r="L147" s="81"/>
      <c r="M147" s="17"/>
      <c r="N147" s="82">
        <f t="shared" si="9"/>
        <v>0</v>
      </c>
      <c r="O147" s="17"/>
      <c r="P147" s="87">
        <f t="shared" si="8"/>
        <v>0</v>
      </c>
      <c r="Q147" s="87">
        <f t="shared" si="10"/>
        <v>0</v>
      </c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76" t="str">
        <f t="shared" si="4"/>
        <v>0</v>
      </c>
      <c r="F148" s="88">
        <f t="shared" si="12"/>
        <v>1</v>
      </c>
      <c r="G148" s="78" t="str">
        <f t="shared" si="2"/>
        <v>Oct</v>
      </c>
      <c r="H148" s="89">
        <f t="shared" si="6"/>
        <v>2036</v>
      </c>
      <c r="I148" s="80" t="str">
        <f t="shared" si="7"/>
        <v>0</v>
      </c>
      <c r="J148" s="10"/>
      <c r="K148" s="17"/>
      <c r="L148" s="81"/>
      <c r="M148" s="17"/>
      <c r="N148" s="82">
        <f t="shared" si="9"/>
        <v>0</v>
      </c>
      <c r="O148" s="17"/>
      <c r="P148" s="87">
        <f t="shared" si="8"/>
        <v>0</v>
      </c>
      <c r="Q148" s="87">
        <f t="shared" si="10"/>
        <v>0</v>
      </c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76" t="str">
        <f t="shared" si="4"/>
        <v>0</v>
      </c>
      <c r="F149" s="77">
        <f t="shared" si="12"/>
        <v>1</v>
      </c>
      <c r="G149" s="78" t="str">
        <f t="shared" si="2"/>
        <v>Nov</v>
      </c>
      <c r="H149" s="79">
        <f t="shared" si="6"/>
        <v>2036</v>
      </c>
      <c r="I149" s="80" t="str">
        <f t="shared" si="7"/>
        <v>0</v>
      </c>
      <c r="J149" s="10"/>
      <c r="K149" s="17"/>
      <c r="L149" s="81"/>
      <c r="M149" s="17"/>
      <c r="N149" s="82">
        <f t="shared" si="9"/>
        <v>0</v>
      </c>
      <c r="O149" s="17"/>
      <c r="P149" s="87">
        <f t="shared" si="8"/>
        <v>0</v>
      </c>
      <c r="Q149" s="87">
        <f t="shared" si="10"/>
        <v>0</v>
      </c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76" t="str">
        <f t="shared" si="4"/>
        <v>0</v>
      </c>
      <c r="F150" s="77">
        <f t="shared" si="12"/>
        <v>1</v>
      </c>
      <c r="G150" s="78" t="str">
        <f t="shared" si="2"/>
        <v>Dic</v>
      </c>
      <c r="H150" s="79">
        <f t="shared" si="6"/>
        <v>2036</v>
      </c>
      <c r="I150" s="80" t="str">
        <f t="shared" si="7"/>
        <v>0</v>
      </c>
      <c r="J150" s="10"/>
      <c r="K150" s="17"/>
      <c r="L150" s="81"/>
      <c r="M150" s="17"/>
      <c r="N150" s="82">
        <f t="shared" si="9"/>
        <v>0</v>
      </c>
      <c r="O150" s="17"/>
      <c r="P150" s="87">
        <f t="shared" si="8"/>
        <v>0</v>
      </c>
      <c r="Q150" s="87">
        <f t="shared" si="10"/>
        <v>0</v>
      </c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76" t="str">
        <f t="shared" si="4"/>
        <v>0</v>
      </c>
      <c r="F151" s="77">
        <f t="shared" si="12"/>
        <v>1</v>
      </c>
      <c r="G151" s="78" t="str">
        <f t="shared" si="2"/>
        <v>Ene</v>
      </c>
      <c r="H151" s="79">
        <f t="shared" si="6"/>
        <v>2037</v>
      </c>
      <c r="I151" s="80" t="str">
        <f t="shared" si="7"/>
        <v>0</v>
      </c>
      <c r="J151" s="10"/>
      <c r="K151" s="17"/>
      <c r="L151" s="81"/>
      <c r="M151" s="17"/>
      <c r="N151" s="82">
        <f t="shared" si="9"/>
        <v>0</v>
      </c>
      <c r="O151" s="17"/>
      <c r="P151" s="87">
        <f t="shared" si="8"/>
        <v>0</v>
      </c>
      <c r="Q151" s="87">
        <f t="shared" si="10"/>
        <v>0</v>
      </c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76" t="str">
        <f t="shared" si="4"/>
        <v>0</v>
      </c>
      <c r="F152" s="77">
        <f t="shared" si="12"/>
        <v>1</v>
      </c>
      <c r="G152" s="78" t="str">
        <f t="shared" si="2"/>
        <v>Feb</v>
      </c>
      <c r="H152" s="79">
        <f t="shared" si="6"/>
        <v>2037</v>
      </c>
      <c r="I152" s="80" t="str">
        <f t="shared" si="7"/>
        <v>0</v>
      </c>
      <c r="J152" s="10"/>
      <c r="K152" s="17"/>
      <c r="L152" s="81"/>
      <c r="M152" s="17"/>
      <c r="N152" s="82">
        <f t="shared" si="9"/>
        <v>0</v>
      </c>
      <c r="O152" s="17"/>
      <c r="P152" s="87">
        <f t="shared" si="8"/>
        <v>0</v>
      </c>
      <c r="Q152" s="87">
        <f t="shared" si="10"/>
        <v>0</v>
      </c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76" t="str">
        <f t="shared" si="4"/>
        <v>0</v>
      </c>
      <c r="F153" s="77">
        <f t="shared" si="12"/>
        <v>1</v>
      </c>
      <c r="G153" s="78" t="str">
        <f t="shared" si="2"/>
        <v>Mar</v>
      </c>
      <c r="H153" s="79">
        <f t="shared" si="6"/>
        <v>2037</v>
      </c>
      <c r="I153" s="80" t="str">
        <f t="shared" si="7"/>
        <v>0</v>
      </c>
      <c r="J153" s="10"/>
      <c r="K153" s="17"/>
      <c r="L153" s="81"/>
      <c r="M153" s="17"/>
      <c r="N153" s="82">
        <f t="shared" si="9"/>
        <v>0</v>
      </c>
      <c r="O153" s="17"/>
      <c r="P153" s="87">
        <f t="shared" si="8"/>
        <v>0</v>
      </c>
      <c r="Q153" s="87">
        <f t="shared" si="10"/>
        <v>0</v>
      </c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76" t="str">
        <f t="shared" si="4"/>
        <v>0</v>
      </c>
      <c r="F154" s="77">
        <f t="shared" si="12"/>
        <v>1</v>
      </c>
      <c r="G154" s="78" t="str">
        <f t="shared" si="2"/>
        <v>Abr</v>
      </c>
      <c r="H154" s="79">
        <f t="shared" si="6"/>
        <v>2037</v>
      </c>
      <c r="I154" s="80" t="str">
        <f t="shared" si="7"/>
        <v>0</v>
      </c>
      <c r="J154" s="10"/>
      <c r="K154" s="17"/>
      <c r="L154" s="81"/>
      <c r="M154" s="17"/>
      <c r="N154" s="82">
        <f t="shared" si="9"/>
        <v>0</v>
      </c>
      <c r="O154" s="17"/>
      <c r="P154" s="87">
        <f t="shared" si="8"/>
        <v>0</v>
      </c>
      <c r="Q154" s="87">
        <f t="shared" si="10"/>
        <v>0</v>
      </c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76" t="str">
        <f t="shared" si="4"/>
        <v>0</v>
      </c>
      <c r="F155" s="77">
        <f t="shared" si="12"/>
        <v>1</v>
      </c>
      <c r="G155" s="78" t="str">
        <f t="shared" si="2"/>
        <v>May</v>
      </c>
      <c r="H155" s="79">
        <f t="shared" si="6"/>
        <v>2037</v>
      </c>
      <c r="I155" s="80" t="str">
        <f t="shared" si="7"/>
        <v>0</v>
      </c>
      <c r="J155" s="10"/>
      <c r="K155" s="17"/>
      <c r="L155" s="81"/>
      <c r="M155" s="17"/>
      <c r="N155" s="82">
        <f t="shared" si="9"/>
        <v>0</v>
      </c>
      <c r="O155" s="17"/>
      <c r="P155" s="87">
        <f t="shared" si="8"/>
        <v>0</v>
      </c>
      <c r="Q155" s="87">
        <f t="shared" si="10"/>
        <v>0</v>
      </c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76" t="str">
        <f t="shared" si="4"/>
        <v>0</v>
      </c>
      <c r="F156" s="77">
        <f t="shared" si="12"/>
        <v>1</v>
      </c>
      <c r="G156" s="78" t="str">
        <f t="shared" si="2"/>
        <v>Jun</v>
      </c>
      <c r="H156" s="79">
        <f t="shared" si="6"/>
        <v>2037</v>
      </c>
      <c r="I156" s="80" t="str">
        <f t="shared" si="7"/>
        <v>0</v>
      </c>
      <c r="J156" s="10"/>
      <c r="K156" s="17"/>
      <c r="L156" s="81"/>
      <c r="M156" s="17"/>
      <c r="N156" s="82">
        <f t="shared" si="9"/>
        <v>0</v>
      </c>
      <c r="O156" s="17"/>
      <c r="P156" s="87">
        <f t="shared" si="8"/>
        <v>0</v>
      </c>
      <c r="Q156" s="87">
        <f t="shared" si="10"/>
        <v>0</v>
      </c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76" t="str">
        <f t="shared" si="4"/>
        <v>0</v>
      </c>
      <c r="F157" s="77">
        <f t="shared" si="12"/>
        <v>1</v>
      </c>
      <c r="G157" s="78" t="str">
        <f t="shared" si="2"/>
        <v>Jul</v>
      </c>
      <c r="H157" s="79">
        <f t="shared" si="6"/>
        <v>2037</v>
      </c>
      <c r="I157" s="80" t="str">
        <f t="shared" si="7"/>
        <v>0</v>
      </c>
      <c r="J157" s="10"/>
      <c r="K157" s="17"/>
      <c r="L157" s="81"/>
      <c r="M157" s="17"/>
      <c r="N157" s="82">
        <f t="shared" si="9"/>
        <v>0</v>
      </c>
      <c r="O157" s="17"/>
      <c r="P157" s="87">
        <f t="shared" si="8"/>
        <v>0</v>
      </c>
      <c r="Q157" s="87">
        <f t="shared" si="10"/>
        <v>0</v>
      </c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76" t="str">
        <f t="shared" si="4"/>
        <v>0</v>
      </c>
      <c r="F158" s="77">
        <f t="shared" si="12"/>
        <v>1</v>
      </c>
      <c r="G158" s="78" t="str">
        <f t="shared" si="2"/>
        <v>Ago</v>
      </c>
      <c r="H158" s="79">
        <f t="shared" si="6"/>
        <v>2037</v>
      </c>
      <c r="I158" s="80" t="str">
        <f t="shared" si="7"/>
        <v>0</v>
      </c>
      <c r="J158" s="10"/>
      <c r="K158" s="17"/>
      <c r="L158" s="81"/>
      <c r="M158" s="17"/>
      <c r="N158" s="82">
        <f t="shared" si="9"/>
        <v>0</v>
      </c>
      <c r="O158" s="17"/>
      <c r="P158" s="87">
        <f t="shared" si="8"/>
        <v>0</v>
      </c>
      <c r="Q158" s="87">
        <f t="shared" si="10"/>
        <v>0</v>
      </c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76" t="str">
        <f t="shared" si="4"/>
        <v>0</v>
      </c>
      <c r="F159" s="77">
        <f t="shared" si="12"/>
        <v>1</v>
      </c>
      <c r="G159" s="78" t="str">
        <f t="shared" si="2"/>
        <v>Sep</v>
      </c>
      <c r="H159" s="79">
        <f t="shared" si="6"/>
        <v>2037</v>
      </c>
      <c r="I159" s="80" t="str">
        <f t="shared" si="7"/>
        <v>0</v>
      </c>
      <c r="J159" s="10"/>
      <c r="K159" s="17"/>
      <c r="L159" s="81"/>
      <c r="M159" s="17"/>
      <c r="N159" s="82">
        <f t="shared" si="9"/>
        <v>0</v>
      </c>
      <c r="O159" s="17"/>
      <c r="P159" s="87">
        <f t="shared" si="8"/>
        <v>0</v>
      </c>
      <c r="Q159" s="87">
        <f t="shared" si="10"/>
        <v>0</v>
      </c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76" t="str">
        <f t="shared" si="4"/>
        <v>0</v>
      </c>
      <c r="F160" s="88">
        <f t="shared" si="12"/>
        <v>1</v>
      </c>
      <c r="G160" s="78" t="str">
        <f t="shared" si="2"/>
        <v>Oct</v>
      </c>
      <c r="H160" s="89">
        <f t="shared" si="6"/>
        <v>2037</v>
      </c>
      <c r="I160" s="80" t="str">
        <f t="shared" si="7"/>
        <v>0</v>
      </c>
      <c r="J160" s="10"/>
      <c r="K160" s="17"/>
      <c r="L160" s="81"/>
      <c r="M160" s="17"/>
      <c r="N160" s="82">
        <f t="shared" si="9"/>
        <v>0</v>
      </c>
      <c r="O160" s="17"/>
      <c r="P160" s="87">
        <f t="shared" si="8"/>
        <v>0</v>
      </c>
      <c r="Q160" s="87">
        <f t="shared" si="10"/>
        <v>0</v>
      </c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76" t="str">
        <f t="shared" si="4"/>
        <v>0</v>
      </c>
      <c r="F161" s="77">
        <f t="shared" si="12"/>
        <v>1</v>
      </c>
      <c r="G161" s="78" t="str">
        <f t="shared" si="2"/>
        <v>Nov</v>
      </c>
      <c r="H161" s="79">
        <f t="shared" si="6"/>
        <v>2037</v>
      </c>
      <c r="I161" s="80" t="str">
        <f t="shared" si="7"/>
        <v>0</v>
      </c>
      <c r="J161" s="10"/>
      <c r="K161" s="17"/>
      <c r="L161" s="81"/>
      <c r="M161" s="17"/>
      <c r="N161" s="82">
        <f t="shared" si="9"/>
        <v>0</v>
      </c>
      <c r="O161" s="17"/>
      <c r="P161" s="87">
        <f t="shared" si="8"/>
        <v>0</v>
      </c>
      <c r="Q161" s="87">
        <f t="shared" si="10"/>
        <v>0</v>
      </c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76" t="str">
        <f t="shared" si="4"/>
        <v>0</v>
      </c>
      <c r="F162" s="77">
        <f t="shared" si="12"/>
        <v>1</v>
      </c>
      <c r="G162" s="78" t="str">
        <f t="shared" si="2"/>
        <v>Dic</v>
      </c>
      <c r="H162" s="79">
        <f t="shared" si="6"/>
        <v>2037</v>
      </c>
      <c r="I162" s="80" t="str">
        <f t="shared" si="7"/>
        <v>0</v>
      </c>
      <c r="J162" s="10"/>
      <c r="K162" s="17"/>
      <c r="L162" s="81"/>
      <c r="M162" s="17"/>
      <c r="N162" s="82">
        <f t="shared" si="9"/>
        <v>0</v>
      </c>
      <c r="O162" s="17"/>
      <c r="P162" s="87">
        <f t="shared" si="8"/>
        <v>0</v>
      </c>
      <c r="Q162" s="87">
        <f t="shared" si="10"/>
        <v>0</v>
      </c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76" t="str">
        <f t="shared" si="4"/>
        <v>0</v>
      </c>
      <c r="F163" s="77">
        <f t="shared" si="12"/>
        <v>1</v>
      </c>
      <c r="G163" s="78" t="str">
        <f t="shared" si="2"/>
        <v>Ene</v>
      </c>
      <c r="H163" s="79">
        <f t="shared" si="6"/>
        <v>2038</v>
      </c>
      <c r="I163" s="80" t="str">
        <f t="shared" si="7"/>
        <v>0</v>
      </c>
      <c r="J163" s="10"/>
      <c r="K163" s="17"/>
      <c r="L163" s="81"/>
      <c r="M163" s="17"/>
      <c r="N163" s="82">
        <f t="shared" si="9"/>
        <v>0</v>
      </c>
      <c r="O163" s="17"/>
      <c r="P163" s="87">
        <f t="shared" si="8"/>
        <v>0</v>
      </c>
      <c r="Q163" s="87">
        <f t="shared" si="10"/>
        <v>0</v>
      </c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76" t="str">
        <f t="shared" si="4"/>
        <v>0</v>
      </c>
      <c r="F164" s="77">
        <f t="shared" si="12"/>
        <v>1</v>
      </c>
      <c r="G164" s="78" t="str">
        <f t="shared" si="2"/>
        <v>Feb</v>
      </c>
      <c r="H164" s="79">
        <f t="shared" si="6"/>
        <v>2038</v>
      </c>
      <c r="I164" s="80" t="str">
        <f t="shared" si="7"/>
        <v>0</v>
      </c>
      <c r="J164" s="10"/>
      <c r="K164" s="17"/>
      <c r="L164" s="81"/>
      <c r="M164" s="17"/>
      <c r="N164" s="82">
        <f t="shared" si="9"/>
        <v>0</v>
      </c>
      <c r="O164" s="17"/>
      <c r="P164" s="87">
        <f t="shared" si="8"/>
        <v>0</v>
      </c>
      <c r="Q164" s="87">
        <f t="shared" si="10"/>
        <v>0</v>
      </c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76" t="str">
        <f t="shared" si="4"/>
        <v>0</v>
      </c>
      <c r="F165" s="77">
        <f t="shared" si="12"/>
        <v>1</v>
      </c>
      <c r="G165" s="78" t="str">
        <f t="shared" si="2"/>
        <v>Mar</v>
      </c>
      <c r="H165" s="79">
        <f t="shared" si="6"/>
        <v>2038</v>
      </c>
      <c r="I165" s="80" t="str">
        <f t="shared" si="7"/>
        <v>0</v>
      </c>
      <c r="J165" s="10"/>
      <c r="K165" s="17"/>
      <c r="L165" s="81"/>
      <c r="M165" s="17"/>
      <c r="N165" s="82">
        <f t="shared" si="9"/>
        <v>0</v>
      </c>
      <c r="O165" s="17"/>
      <c r="P165" s="87">
        <f t="shared" si="8"/>
        <v>0</v>
      </c>
      <c r="Q165" s="87">
        <f t="shared" si="10"/>
        <v>0</v>
      </c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76" t="str">
        <f t="shared" si="4"/>
        <v>0</v>
      </c>
      <c r="F166" s="77">
        <f t="shared" si="12"/>
        <v>1</v>
      </c>
      <c r="G166" s="78" t="str">
        <f t="shared" si="2"/>
        <v>Abr</v>
      </c>
      <c r="H166" s="79">
        <f t="shared" si="6"/>
        <v>2038</v>
      </c>
      <c r="I166" s="80" t="str">
        <f t="shared" si="7"/>
        <v>0</v>
      </c>
      <c r="J166" s="10"/>
      <c r="K166" s="17"/>
      <c r="L166" s="81"/>
      <c r="M166" s="17"/>
      <c r="N166" s="82">
        <f t="shared" si="9"/>
        <v>0</v>
      </c>
      <c r="O166" s="17"/>
      <c r="P166" s="87">
        <f t="shared" si="8"/>
        <v>0</v>
      </c>
      <c r="Q166" s="87">
        <f t="shared" si="10"/>
        <v>0</v>
      </c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76" t="str">
        <f t="shared" si="4"/>
        <v>0</v>
      </c>
      <c r="F167" s="77">
        <f t="shared" si="12"/>
        <v>1</v>
      </c>
      <c r="G167" s="78" t="str">
        <f t="shared" si="2"/>
        <v>May</v>
      </c>
      <c r="H167" s="79">
        <f t="shared" si="6"/>
        <v>2038</v>
      </c>
      <c r="I167" s="80" t="str">
        <f t="shared" si="7"/>
        <v>0</v>
      </c>
      <c r="J167" s="10"/>
      <c r="K167" s="17"/>
      <c r="L167" s="81"/>
      <c r="M167" s="17"/>
      <c r="N167" s="82">
        <f t="shared" si="9"/>
        <v>0</v>
      </c>
      <c r="O167" s="17"/>
      <c r="P167" s="87">
        <f t="shared" si="8"/>
        <v>0</v>
      </c>
      <c r="Q167" s="87">
        <f t="shared" si="10"/>
        <v>0</v>
      </c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76">
        <v>150.0</v>
      </c>
      <c r="F168" s="77">
        <f t="shared" si="12"/>
        <v>1</v>
      </c>
      <c r="G168" s="78" t="s">
        <v>25</v>
      </c>
      <c r="H168" s="79">
        <f t="shared" si="6"/>
        <v>2039</v>
      </c>
      <c r="I168" s="80" t="str">
        <f t="shared" si="7"/>
        <v>0</v>
      </c>
      <c r="J168" s="10"/>
      <c r="K168" s="17"/>
      <c r="L168" s="81"/>
      <c r="M168" s="17"/>
      <c r="N168" s="82">
        <f t="shared" si="9"/>
        <v>0</v>
      </c>
      <c r="O168" s="17"/>
      <c r="P168" s="87">
        <f t="shared" si="8"/>
        <v>0</v>
      </c>
      <c r="Q168" s="87">
        <f t="shared" si="10"/>
        <v>0</v>
      </c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76">
        <v>151.0</v>
      </c>
      <c r="F169" s="77">
        <f t="shared" si="12"/>
        <v>1</v>
      </c>
      <c r="G169" s="78" t="s">
        <v>26</v>
      </c>
      <c r="H169" s="79">
        <v>2038.0</v>
      </c>
      <c r="I169" s="80" t="str">
        <f t="shared" si="7"/>
        <v>0</v>
      </c>
      <c r="J169" s="10"/>
      <c r="K169" s="17"/>
      <c r="L169" s="81"/>
      <c r="M169" s="17"/>
      <c r="N169" s="82">
        <f t="shared" si="9"/>
        <v>0</v>
      </c>
      <c r="O169" s="17"/>
      <c r="P169" s="87">
        <f t="shared" si="8"/>
        <v>0</v>
      </c>
      <c r="Q169" s="87">
        <f t="shared" si="10"/>
        <v>0</v>
      </c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76">
        <v>152.0</v>
      </c>
      <c r="F170" s="77">
        <f t="shared" si="12"/>
        <v>1</v>
      </c>
      <c r="G170" s="78" t="s">
        <v>27</v>
      </c>
      <c r="H170" s="79">
        <v>2038.0</v>
      </c>
      <c r="I170" s="80" t="str">
        <f t="shared" si="7"/>
        <v>0</v>
      </c>
      <c r="J170" s="10"/>
      <c r="K170" s="17"/>
      <c r="L170" s="81"/>
      <c r="M170" s="17"/>
      <c r="N170" s="82">
        <f t="shared" si="9"/>
        <v>0</v>
      </c>
      <c r="O170" s="17"/>
      <c r="P170" s="87">
        <f t="shared" si="8"/>
        <v>0</v>
      </c>
      <c r="Q170" s="87">
        <f t="shared" si="10"/>
        <v>0</v>
      </c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76">
        <v>153.0</v>
      </c>
      <c r="F171" s="77">
        <f t="shared" si="12"/>
        <v>1</v>
      </c>
      <c r="G171" s="78" t="s">
        <v>28</v>
      </c>
      <c r="H171" s="79">
        <v>2038.0</v>
      </c>
      <c r="I171" s="80" t="str">
        <f t="shared" si="7"/>
        <v>0</v>
      </c>
      <c r="J171" s="10"/>
      <c r="K171" s="17"/>
      <c r="L171" s="81"/>
      <c r="M171" s="17"/>
      <c r="N171" s="82">
        <f t="shared" si="9"/>
        <v>0</v>
      </c>
      <c r="O171" s="17"/>
      <c r="P171" s="87">
        <f t="shared" si="8"/>
        <v>0</v>
      </c>
      <c r="Q171" s="87">
        <f t="shared" si="10"/>
        <v>0</v>
      </c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76">
        <v>154.0</v>
      </c>
      <c r="F172" s="77">
        <f t="shared" si="12"/>
        <v>1</v>
      </c>
      <c r="G172" s="78" t="s">
        <v>29</v>
      </c>
      <c r="H172" s="79">
        <v>2038.0</v>
      </c>
      <c r="I172" s="80" t="str">
        <f t="shared" si="7"/>
        <v>0</v>
      </c>
      <c r="J172" s="10"/>
      <c r="K172" s="17"/>
      <c r="L172" s="81"/>
      <c r="M172" s="17"/>
      <c r="N172" s="82">
        <f t="shared" si="9"/>
        <v>0</v>
      </c>
      <c r="O172" s="17"/>
      <c r="P172" s="87">
        <f t="shared" si="8"/>
        <v>0</v>
      </c>
      <c r="Q172" s="87">
        <f t="shared" si="10"/>
        <v>0</v>
      </c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76">
        <v>155.0</v>
      </c>
      <c r="F173" s="77">
        <f t="shared" si="12"/>
        <v>1</v>
      </c>
      <c r="G173" s="78" t="s">
        <v>30</v>
      </c>
      <c r="H173" s="79">
        <v>2038.0</v>
      </c>
      <c r="I173" s="80" t="str">
        <f t="shared" si="7"/>
        <v>0</v>
      </c>
      <c r="J173" s="10"/>
      <c r="K173" s="17"/>
      <c r="L173" s="81"/>
      <c r="M173" s="17"/>
      <c r="N173" s="82">
        <f t="shared" si="9"/>
        <v>0</v>
      </c>
      <c r="O173" s="17"/>
      <c r="P173" s="87">
        <f t="shared" si="8"/>
        <v>0</v>
      </c>
      <c r="Q173" s="87">
        <f t="shared" si="10"/>
        <v>0</v>
      </c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76">
        <v>156.0</v>
      </c>
      <c r="F174" s="77">
        <f t="shared" si="12"/>
        <v>1</v>
      </c>
      <c r="G174" s="78" t="s">
        <v>31</v>
      </c>
      <c r="H174" s="79">
        <v>2038.0</v>
      </c>
      <c r="I174" s="80" t="str">
        <f t="shared" si="7"/>
        <v>0</v>
      </c>
      <c r="J174" s="10"/>
      <c r="K174" s="17"/>
      <c r="L174" s="81"/>
      <c r="M174" s="17"/>
      <c r="N174" s="82">
        <f t="shared" si="9"/>
        <v>0</v>
      </c>
      <c r="O174" s="17"/>
      <c r="P174" s="87">
        <f t="shared" si="8"/>
        <v>0</v>
      </c>
      <c r="Q174" s="87">
        <f t="shared" si="10"/>
        <v>0</v>
      </c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76">
        <v>157.0</v>
      </c>
      <c r="F175" s="77">
        <f t="shared" si="12"/>
        <v>1</v>
      </c>
      <c r="G175" s="78" t="s">
        <v>32</v>
      </c>
      <c r="H175" s="79">
        <v>2038.0</v>
      </c>
      <c r="I175" s="80" t="str">
        <f t="shared" si="7"/>
        <v>0</v>
      </c>
      <c r="J175" s="10"/>
      <c r="K175" s="17"/>
      <c r="L175" s="81"/>
      <c r="M175" s="17"/>
      <c r="N175" s="82">
        <f t="shared" si="9"/>
        <v>0</v>
      </c>
      <c r="O175" s="17"/>
      <c r="P175" s="87">
        <f t="shared" si="8"/>
        <v>0</v>
      </c>
      <c r="Q175" s="87">
        <f t="shared" si="10"/>
        <v>0</v>
      </c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76">
        <v>158.0</v>
      </c>
      <c r="F176" s="77">
        <f t="shared" si="12"/>
        <v>1</v>
      </c>
      <c r="G176" s="78" t="s">
        <v>33</v>
      </c>
      <c r="H176" s="79">
        <v>2038.0</v>
      </c>
      <c r="I176" s="80" t="str">
        <f t="shared" si="7"/>
        <v>0</v>
      </c>
      <c r="J176" s="10"/>
      <c r="K176" s="17"/>
      <c r="L176" s="81"/>
      <c r="M176" s="17"/>
      <c r="N176" s="82">
        <f t="shared" si="9"/>
        <v>0</v>
      </c>
      <c r="O176" s="17"/>
      <c r="P176" s="87">
        <f t="shared" si="8"/>
        <v>0</v>
      </c>
      <c r="Q176" s="87">
        <f t="shared" si="10"/>
        <v>0</v>
      </c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76">
        <v>159.0</v>
      </c>
      <c r="F177" s="77">
        <f t="shared" si="12"/>
        <v>1</v>
      </c>
      <c r="G177" s="78" t="s">
        <v>34</v>
      </c>
      <c r="H177" s="79">
        <v>2038.0</v>
      </c>
      <c r="I177" s="80" t="str">
        <f t="shared" si="7"/>
        <v>0</v>
      </c>
      <c r="J177" s="10"/>
      <c r="K177" s="17"/>
      <c r="L177" s="81"/>
      <c r="M177" s="17"/>
      <c r="N177" s="82">
        <f t="shared" si="9"/>
        <v>0</v>
      </c>
      <c r="O177" s="17"/>
      <c r="P177" s="87">
        <f t="shared" si="8"/>
        <v>0</v>
      </c>
      <c r="Q177" s="87">
        <f t="shared" si="10"/>
        <v>0</v>
      </c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76">
        <v>160.0</v>
      </c>
      <c r="F178" s="77">
        <f t="shared" si="12"/>
        <v>1</v>
      </c>
      <c r="G178" s="78" t="s">
        <v>35</v>
      </c>
      <c r="H178" s="79">
        <v>2038.0</v>
      </c>
      <c r="I178" s="80" t="str">
        <f t="shared" si="7"/>
        <v>0</v>
      </c>
      <c r="J178" s="10"/>
      <c r="K178" s="17"/>
      <c r="L178" s="81"/>
      <c r="M178" s="17"/>
      <c r="N178" s="82">
        <f t="shared" si="9"/>
        <v>0</v>
      </c>
      <c r="O178" s="17"/>
      <c r="P178" s="87">
        <f t="shared" si="8"/>
        <v>0</v>
      </c>
      <c r="Q178" s="87">
        <f t="shared" si="10"/>
        <v>0</v>
      </c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76">
        <v>161.0</v>
      </c>
      <c r="F179" s="77">
        <f t="shared" si="12"/>
        <v>1</v>
      </c>
      <c r="G179" s="78" t="s">
        <v>36</v>
      </c>
      <c r="H179" s="79">
        <v>2038.0</v>
      </c>
      <c r="I179" s="80" t="str">
        <f t="shared" si="7"/>
        <v>0</v>
      </c>
      <c r="J179" s="10"/>
      <c r="K179" s="17"/>
      <c r="L179" s="81"/>
      <c r="M179" s="17"/>
      <c r="N179" s="82">
        <f t="shared" si="9"/>
        <v>0</v>
      </c>
      <c r="O179" s="17"/>
      <c r="P179" s="87">
        <f t="shared" si="8"/>
        <v>0</v>
      </c>
      <c r="Q179" s="87">
        <f t="shared" si="10"/>
        <v>0</v>
      </c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76">
        <v>162.0</v>
      </c>
      <c r="F180" s="77">
        <f t="shared" si="12"/>
        <v>1</v>
      </c>
      <c r="G180" s="78" t="s">
        <v>25</v>
      </c>
      <c r="H180" s="79">
        <f>IF(C180&gt;C179,H179,H179+1)</f>
        <v>2039</v>
      </c>
      <c r="I180" s="80" t="str">
        <f t="shared" si="7"/>
        <v>0</v>
      </c>
      <c r="J180" s="10"/>
      <c r="K180" s="17"/>
      <c r="L180" s="81"/>
      <c r="M180" s="17"/>
      <c r="N180" s="82">
        <f t="shared" si="9"/>
        <v>0</v>
      </c>
      <c r="O180" s="17"/>
      <c r="P180" s="87">
        <f t="shared" si="8"/>
        <v>0</v>
      </c>
      <c r="Q180" s="87">
        <f t="shared" si="10"/>
        <v>0</v>
      </c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76">
        <v>163.0</v>
      </c>
      <c r="F181" s="77">
        <f t="shared" si="12"/>
        <v>1</v>
      </c>
      <c r="G181" s="78" t="s">
        <v>26</v>
      </c>
      <c r="H181" s="79">
        <v>2039.0</v>
      </c>
      <c r="I181" s="80" t="str">
        <f t="shared" si="7"/>
        <v>0</v>
      </c>
      <c r="J181" s="10"/>
      <c r="K181" s="17"/>
      <c r="L181" s="81"/>
      <c r="M181" s="17"/>
      <c r="N181" s="82">
        <f t="shared" si="9"/>
        <v>0</v>
      </c>
      <c r="O181" s="17"/>
      <c r="P181" s="87">
        <f t="shared" si="8"/>
        <v>0</v>
      </c>
      <c r="Q181" s="87">
        <f t="shared" si="10"/>
        <v>0</v>
      </c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76">
        <v>164.0</v>
      </c>
      <c r="F182" s="77">
        <f t="shared" si="12"/>
        <v>1</v>
      </c>
      <c r="G182" s="78" t="s">
        <v>27</v>
      </c>
      <c r="H182" s="79">
        <v>2039.0</v>
      </c>
      <c r="I182" s="80" t="str">
        <f t="shared" si="7"/>
        <v>0</v>
      </c>
      <c r="J182" s="10"/>
      <c r="K182" s="17"/>
      <c r="L182" s="81"/>
      <c r="M182" s="17"/>
      <c r="N182" s="82">
        <f t="shared" si="9"/>
        <v>0</v>
      </c>
      <c r="O182" s="17"/>
      <c r="P182" s="87">
        <f t="shared" si="8"/>
        <v>0</v>
      </c>
      <c r="Q182" s="87">
        <f t="shared" si="10"/>
        <v>0</v>
      </c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76">
        <v>165.0</v>
      </c>
      <c r="F183" s="77">
        <f t="shared" si="12"/>
        <v>1</v>
      </c>
      <c r="G183" s="78" t="s">
        <v>28</v>
      </c>
      <c r="H183" s="79">
        <v>2039.0</v>
      </c>
      <c r="I183" s="80" t="str">
        <f t="shared" si="7"/>
        <v>0</v>
      </c>
      <c r="J183" s="10"/>
      <c r="K183" s="17"/>
      <c r="L183" s="81"/>
      <c r="M183" s="17"/>
      <c r="N183" s="82">
        <f t="shared" si="9"/>
        <v>0</v>
      </c>
      <c r="O183" s="17"/>
      <c r="P183" s="87">
        <f t="shared" si="8"/>
        <v>0</v>
      </c>
      <c r="Q183" s="87">
        <f t="shared" si="10"/>
        <v>0</v>
      </c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76">
        <v>166.0</v>
      </c>
      <c r="F184" s="77">
        <f t="shared" si="12"/>
        <v>1</v>
      </c>
      <c r="G184" s="78" t="s">
        <v>29</v>
      </c>
      <c r="H184" s="79">
        <v>2039.0</v>
      </c>
      <c r="I184" s="80" t="str">
        <f t="shared" si="7"/>
        <v>0</v>
      </c>
      <c r="J184" s="10"/>
      <c r="K184" s="17"/>
      <c r="L184" s="81"/>
      <c r="M184" s="17"/>
      <c r="N184" s="82">
        <f t="shared" si="9"/>
        <v>0</v>
      </c>
      <c r="O184" s="17"/>
      <c r="P184" s="87">
        <f t="shared" si="8"/>
        <v>0</v>
      </c>
      <c r="Q184" s="87">
        <f t="shared" si="10"/>
        <v>0</v>
      </c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76">
        <v>167.0</v>
      </c>
      <c r="F185" s="77">
        <f t="shared" si="12"/>
        <v>1</v>
      </c>
      <c r="G185" s="78" t="s">
        <v>30</v>
      </c>
      <c r="H185" s="79">
        <v>2039.0</v>
      </c>
      <c r="I185" s="80" t="str">
        <f t="shared" si="7"/>
        <v>0</v>
      </c>
      <c r="J185" s="10"/>
      <c r="K185" s="17"/>
      <c r="L185" s="81"/>
      <c r="M185" s="17"/>
      <c r="N185" s="82">
        <f t="shared" si="9"/>
        <v>0</v>
      </c>
      <c r="O185" s="17"/>
      <c r="P185" s="87">
        <f t="shared" si="8"/>
        <v>0</v>
      </c>
      <c r="Q185" s="87">
        <f t="shared" si="10"/>
        <v>0</v>
      </c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76">
        <v>168.0</v>
      </c>
      <c r="F186" s="77">
        <f t="shared" si="12"/>
        <v>1</v>
      </c>
      <c r="G186" s="78" t="s">
        <v>31</v>
      </c>
      <c r="H186" s="79">
        <v>2039.0</v>
      </c>
      <c r="I186" s="80" t="str">
        <f t="shared" si="7"/>
        <v>0</v>
      </c>
      <c r="J186" s="10"/>
      <c r="K186" s="17"/>
      <c r="L186" s="81"/>
      <c r="M186" s="17"/>
      <c r="N186" s="82">
        <f t="shared" si="9"/>
        <v>0</v>
      </c>
      <c r="O186" s="17"/>
      <c r="P186" s="87">
        <f t="shared" si="8"/>
        <v>0</v>
      </c>
      <c r="Q186" s="87">
        <f t="shared" si="10"/>
        <v>0</v>
      </c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76">
        <v>169.0</v>
      </c>
      <c r="F187" s="77">
        <f t="shared" si="12"/>
        <v>1</v>
      </c>
      <c r="G187" s="78" t="s">
        <v>32</v>
      </c>
      <c r="H187" s="79">
        <v>2039.0</v>
      </c>
      <c r="I187" s="80" t="str">
        <f t="shared" si="7"/>
        <v>0</v>
      </c>
      <c r="J187" s="10"/>
      <c r="K187" s="17"/>
      <c r="L187" s="81"/>
      <c r="M187" s="17"/>
      <c r="N187" s="82">
        <f t="shared" si="9"/>
        <v>0</v>
      </c>
      <c r="O187" s="17"/>
      <c r="P187" s="87">
        <f t="shared" si="8"/>
        <v>0</v>
      </c>
      <c r="Q187" s="87">
        <f t="shared" si="10"/>
        <v>0</v>
      </c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76">
        <v>170.0</v>
      </c>
      <c r="F188" s="77">
        <f t="shared" si="12"/>
        <v>1</v>
      </c>
      <c r="G188" s="78" t="s">
        <v>33</v>
      </c>
      <c r="H188" s="79">
        <v>2039.0</v>
      </c>
      <c r="I188" s="80" t="str">
        <f t="shared" si="7"/>
        <v>0</v>
      </c>
      <c r="J188" s="10"/>
      <c r="K188" s="17"/>
      <c r="L188" s="81"/>
      <c r="M188" s="17"/>
      <c r="N188" s="82">
        <f t="shared" si="9"/>
        <v>0</v>
      </c>
      <c r="O188" s="17"/>
      <c r="P188" s="87">
        <f t="shared" si="8"/>
        <v>0</v>
      </c>
      <c r="Q188" s="87">
        <f t="shared" si="10"/>
        <v>0</v>
      </c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76">
        <v>171.0</v>
      </c>
      <c r="F189" s="77">
        <f t="shared" si="12"/>
        <v>1</v>
      </c>
      <c r="G189" s="78" t="s">
        <v>34</v>
      </c>
      <c r="H189" s="79">
        <v>2039.0</v>
      </c>
      <c r="I189" s="80" t="str">
        <f t="shared" si="7"/>
        <v>0</v>
      </c>
      <c r="J189" s="10"/>
      <c r="K189" s="17"/>
      <c r="L189" s="81"/>
      <c r="M189" s="17"/>
      <c r="N189" s="82">
        <f t="shared" si="9"/>
        <v>0</v>
      </c>
      <c r="O189" s="17"/>
      <c r="P189" s="87">
        <f t="shared" si="8"/>
        <v>0</v>
      </c>
      <c r="Q189" s="87">
        <f t="shared" si="10"/>
        <v>0</v>
      </c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76">
        <v>172.0</v>
      </c>
      <c r="F190" s="77">
        <f t="shared" si="12"/>
        <v>1</v>
      </c>
      <c r="G190" s="78" t="s">
        <v>35</v>
      </c>
      <c r="H190" s="79">
        <v>2039.0</v>
      </c>
      <c r="I190" s="80" t="str">
        <f t="shared" si="7"/>
        <v>0</v>
      </c>
      <c r="J190" s="10"/>
      <c r="K190" s="17"/>
      <c r="L190" s="81"/>
      <c r="M190" s="17"/>
      <c r="N190" s="82">
        <f t="shared" si="9"/>
        <v>0</v>
      </c>
      <c r="O190" s="17"/>
      <c r="P190" s="87">
        <f t="shared" si="8"/>
        <v>0</v>
      </c>
      <c r="Q190" s="87">
        <f t="shared" si="10"/>
        <v>0</v>
      </c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76">
        <v>173.0</v>
      </c>
      <c r="F191" s="77">
        <f t="shared" si="12"/>
        <v>1</v>
      </c>
      <c r="G191" s="78" t="s">
        <v>36</v>
      </c>
      <c r="H191" s="79">
        <v>2039.0</v>
      </c>
      <c r="I191" s="80" t="str">
        <f t="shared" si="7"/>
        <v>0</v>
      </c>
      <c r="J191" s="10"/>
      <c r="K191" s="17"/>
      <c r="L191" s="81"/>
      <c r="M191" s="17"/>
      <c r="N191" s="82">
        <f t="shared" si="9"/>
        <v>0</v>
      </c>
      <c r="O191" s="17"/>
      <c r="P191" s="87">
        <f t="shared" si="8"/>
        <v>0</v>
      </c>
      <c r="Q191" s="87">
        <f t="shared" si="10"/>
        <v>0</v>
      </c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76">
        <v>174.0</v>
      </c>
      <c r="F192" s="77">
        <f t="shared" si="12"/>
        <v>1</v>
      </c>
      <c r="G192" s="78" t="s">
        <v>25</v>
      </c>
      <c r="H192" s="79">
        <f>IF(C192&gt;C191,H191,H191+1)</f>
        <v>2040</v>
      </c>
      <c r="I192" s="80" t="str">
        <f t="shared" si="7"/>
        <v>0</v>
      </c>
      <c r="J192" s="10"/>
      <c r="K192" s="17"/>
      <c r="L192" s="81"/>
      <c r="M192" s="17"/>
      <c r="N192" s="82">
        <f t="shared" si="9"/>
        <v>0</v>
      </c>
      <c r="O192" s="17"/>
      <c r="P192" s="87">
        <f t="shared" si="8"/>
        <v>0</v>
      </c>
      <c r="Q192" s="87">
        <f t="shared" si="10"/>
        <v>0</v>
      </c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76">
        <v>175.0</v>
      </c>
      <c r="F193" s="77">
        <f t="shared" si="12"/>
        <v>1</v>
      </c>
      <c r="G193" s="78" t="s">
        <v>26</v>
      </c>
      <c r="H193" s="79">
        <v>2040.0</v>
      </c>
      <c r="I193" s="80" t="str">
        <f t="shared" si="7"/>
        <v>0</v>
      </c>
      <c r="J193" s="10"/>
      <c r="K193" s="17"/>
      <c r="L193" s="81"/>
      <c r="M193" s="17"/>
      <c r="N193" s="82">
        <f t="shared" si="9"/>
        <v>0</v>
      </c>
      <c r="O193" s="17"/>
      <c r="P193" s="87">
        <f t="shared" si="8"/>
        <v>0</v>
      </c>
      <c r="Q193" s="87">
        <f t="shared" si="10"/>
        <v>0</v>
      </c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76">
        <v>177.0</v>
      </c>
      <c r="F194" s="77">
        <f t="shared" si="12"/>
        <v>1</v>
      </c>
      <c r="G194" s="78" t="s">
        <v>27</v>
      </c>
      <c r="H194" s="79">
        <v>2040.0</v>
      </c>
      <c r="I194" s="80" t="str">
        <f t="shared" si="7"/>
        <v>0</v>
      </c>
      <c r="J194" s="10"/>
      <c r="K194" s="17"/>
      <c r="L194" s="81"/>
      <c r="M194" s="17"/>
      <c r="N194" s="82">
        <f t="shared" si="9"/>
        <v>0</v>
      </c>
      <c r="O194" s="17"/>
      <c r="P194" s="87">
        <f t="shared" si="8"/>
        <v>0</v>
      </c>
      <c r="Q194" s="87">
        <f t="shared" si="10"/>
        <v>0</v>
      </c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76">
        <v>178.0</v>
      </c>
      <c r="F195" s="77">
        <f t="shared" si="12"/>
        <v>1</v>
      </c>
      <c r="G195" s="78" t="s">
        <v>28</v>
      </c>
      <c r="H195" s="79">
        <v>2040.0</v>
      </c>
      <c r="I195" s="80" t="str">
        <f t="shared" si="7"/>
        <v>0</v>
      </c>
      <c r="J195" s="10"/>
      <c r="K195" s="17"/>
      <c r="L195" s="81"/>
      <c r="M195" s="17"/>
      <c r="N195" s="82">
        <f t="shared" si="9"/>
        <v>0</v>
      </c>
      <c r="O195" s="17"/>
      <c r="P195" s="87">
        <f t="shared" si="8"/>
        <v>0</v>
      </c>
      <c r="Q195" s="87">
        <f t="shared" si="10"/>
        <v>0</v>
      </c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76">
        <v>179.0</v>
      </c>
      <c r="F196" s="77">
        <f t="shared" si="12"/>
        <v>1</v>
      </c>
      <c r="G196" s="78" t="s">
        <v>29</v>
      </c>
      <c r="H196" s="79">
        <v>2040.0</v>
      </c>
      <c r="I196" s="80" t="str">
        <f t="shared" si="7"/>
        <v>0</v>
      </c>
      <c r="J196" s="10"/>
      <c r="K196" s="17"/>
      <c r="L196" s="81"/>
      <c r="M196" s="17"/>
      <c r="N196" s="82">
        <f t="shared" si="9"/>
        <v>0</v>
      </c>
      <c r="O196" s="17"/>
      <c r="P196" s="87">
        <f t="shared" si="8"/>
        <v>0</v>
      </c>
      <c r="Q196" s="87">
        <f t="shared" si="10"/>
        <v>0</v>
      </c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76">
        <v>180.0</v>
      </c>
      <c r="F197" s="77">
        <f t="shared" si="12"/>
        <v>1</v>
      </c>
      <c r="G197" s="78" t="s">
        <v>30</v>
      </c>
      <c r="H197" s="79">
        <v>2040.0</v>
      </c>
      <c r="I197" s="80" t="str">
        <f t="shared" si="7"/>
        <v>0</v>
      </c>
      <c r="J197" s="10"/>
      <c r="K197" s="17"/>
      <c r="L197" s="81"/>
      <c r="M197" s="17"/>
      <c r="N197" s="82">
        <f t="shared" si="9"/>
        <v>0</v>
      </c>
      <c r="O197" s="17"/>
      <c r="P197" s="87">
        <f t="shared" si="8"/>
        <v>0</v>
      </c>
      <c r="Q197" s="87">
        <f t="shared" si="10"/>
        <v>0</v>
      </c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76">
        <v>181.0</v>
      </c>
      <c r="F198" s="77">
        <f t="shared" si="12"/>
        <v>1</v>
      </c>
      <c r="G198" s="78" t="s">
        <v>31</v>
      </c>
      <c r="H198" s="79">
        <v>2040.0</v>
      </c>
      <c r="I198" s="80" t="str">
        <f t="shared" si="7"/>
        <v>0</v>
      </c>
      <c r="J198" s="10"/>
      <c r="K198" s="17"/>
      <c r="L198" s="81"/>
      <c r="M198" s="17"/>
      <c r="N198" s="82">
        <f t="shared" si="9"/>
        <v>0</v>
      </c>
      <c r="O198" s="17"/>
      <c r="P198" s="87">
        <f t="shared" si="8"/>
        <v>0</v>
      </c>
      <c r="Q198" s="87">
        <f t="shared" si="10"/>
        <v>0</v>
      </c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76">
        <v>182.0</v>
      </c>
      <c r="F199" s="77">
        <f t="shared" si="12"/>
        <v>1</v>
      </c>
      <c r="G199" s="78" t="s">
        <v>32</v>
      </c>
      <c r="H199" s="79">
        <v>2040.0</v>
      </c>
      <c r="I199" s="80" t="str">
        <f t="shared" si="7"/>
        <v>0</v>
      </c>
      <c r="J199" s="10"/>
      <c r="K199" s="17"/>
      <c r="L199" s="81"/>
      <c r="M199" s="17"/>
      <c r="N199" s="82">
        <f t="shared" si="9"/>
        <v>0</v>
      </c>
      <c r="O199" s="17"/>
      <c r="P199" s="87">
        <f t="shared" si="8"/>
        <v>0</v>
      </c>
      <c r="Q199" s="87">
        <f t="shared" si="10"/>
        <v>0</v>
      </c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76">
        <v>183.0</v>
      </c>
      <c r="F200" s="77">
        <f t="shared" si="12"/>
        <v>1</v>
      </c>
      <c r="G200" s="78" t="s">
        <v>33</v>
      </c>
      <c r="H200" s="79">
        <v>2040.0</v>
      </c>
      <c r="I200" s="80" t="str">
        <f t="shared" si="7"/>
        <v>0</v>
      </c>
      <c r="J200" s="10"/>
      <c r="K200" s="17"/>
      <c r="L200" s="81"/>
      <c r="M200" s="17"/>
      <c r="N200" s="82">
        <f t="shared" si="9"/>
        <v>0</v>
      </c>
      <c r="O200" s="17"/>
      <c r="P200" s="87">
        <f t="shared" si="8"/>
        <v>0</v>
      </c>
      <c r="Q200" s="87">
        <f t="shared" si="10"/>
        <v>0</v>
      </c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76">
        <v>184.0</v>
      </c>
      <c r="F201" s="77">
        <f t="shared" si="12"/>
        <v>1</v>
      </c>
      <c r="G201" s="78" t="s">
        <v>34</v>
      </c>
      <c r="H201" s="79">
        <v>2040.0</v>
      </c>
      <c r="I201" s="80" t="str">
        <f t="shared" si="7"/>
        <v>0</v>
      </c>
      <c r="J201" s="10"/>
      <c r="K201" s="17"/>
      <c r="L201" s="81"/>
      <c r="M201" s="17"/>
      <c r="N201" s="82">
        <f t="shared" si="9"/>
        <v>0</v>
      </c>
      <c r="O201" s="17"/>
      <c r="P201" s="87">
        <f t="shared" si="8"/>
        <v>0</v>
      </c>
      <c r="Q201" s="87">
        <f t="shared" si="10"/>
        <v>0</v>
      </c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76">
        <v>185.0</v>
      </c>
      <c r="F202" s="77">
        <f t="shared" si="12"/>
        <v>1</v>
      </c>
      <c r="G202" s="78" t="s">
        <v>35</v>
      </c>
      <c r="H202" s="79">
        <v>2040.0</v>
      </c>
      <c r="I202" s="80" t="str">
        <f t="shared" si="7"/>
        <v>0</v>
      </c>
      <c r="J202" s="10"/>
      <c r="K202" s="17"/>
      <c r="L202" s="81"/>
      <c r="M202" s="17"/>
      <c r="N202" s="82">
        <f t="shared" si="9"/>
        <v>0</v>
      </c>
      <c r="O202" s="17"/>
      <c r="P202" s="87">
        <f t="shared" si="8"/>
        <v>0</v>
      </c>
      <c r="Q202" s="87">
        <f t="shared" si="10"/>
        <v>0</v>
      </c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76">
        <v>186.0</v>
      </c>
      <c r="F203" s="77">
        <f t="shared" si="12"/>
        <v>1</v>
      </c>
      <c r="G203" s="78" t="s">
        <v>36</v>
      </c>
      <c r="H203" s="79">
        <v>2040.0</v>
      </c>
      <c r="I203" s="80" t="str">
        <f t="shared" si="7"/>
        <v>0</v>
      </c>
      <c r="J203" s="10"/>
      <c r="K203" s="17"/>
      <c r="L203" s="81"/>
      <c r="M203" s="17"/>
      <c r="N203" s="82">
        <f t="shared" si="9"/>
        <v>0</v>
      </c>
      <c r="O203" s="17"/>
      <c r="P203" s="87">
        <f t="shared" si="8"/>
        <v>0</v>
      </c>
      <c r="Q203" s="87">
        <f t="shared" si="10"/>
        <v>0</v>
      </c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76">
        <v>187.0</v>
      </c>
      <c r="F204" s="77">
        <f t="shared" si="12"/>
        <v>1</v>
      </c>
      <c r="G204" s="78" t="s">
        <v>25</v>
      </c>
      <c r="H204" s="79">
        <f>IF(C204&gt;C203,H203,H203+1)</f>
        <v>2041</v>
      </c>
      <c r="I204" s="80" t="str">
        <f t="shared" si="7"/>
        <v>0</v>
      </c>
      <c r="J204" s="10"/>
      <c r="K204" s="17"/>
      <c r="L204" s="81"/>
      <c r="M204" s="17"/>
      <c r="N204" s="82">
        <f t="shared" si="9"/>
        <v>0</v>
      </c>
      <c r="O204" s="17"/>
      <c r="P204" s="87">
        <f t="shared" si="8"/>
        <v>0</v>
      </c>
      <c r="Q204" s="87">
        <f t="shared" si="10"/>
        <v>0</v>
      </c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76">
        <v>188.0</v>
      </c>
      <c r="F205" s="77">
        <f t="shared" si="12"/>
        <v>1</v>
      </c>
      <c r="G205" s="78" t="s">
        <v>26</v>
      </c>
      <c r="H205" s="79">
        <v>2041.0</v>
      </c>
      <c r="I205" s="80" t="str">
        <f t="shared" si="7"/>
        <v>0</v>
      </c>
      <c r="J205" s="10"/>
      <c r="K205" s="17"/>
      <c r="L205" s="81"/>
      <c r="M205" s="17"/>
      <c r="N205" s="82">
        <f t="shared" si="9"/>
        <v>0</v>
      </c>
      <c r="O205" s="17"/>
      <c r="P205" s="87">
        <f t="shared" si="8"/>
        <v>0</v>
      </c>
      <c r="Q205" s="87">
        <f t="shared" si="10"/>
        <v>0</v>
      </c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76">
        <v>189.0</v>
      </c>
      <c r="F206" s="77">
        <f t="shared" si="12"/>
        <v>1</v>
      </c>
      <c r="G206" s="78" t="s">
        <v>27</v>
      </c>
      <c r="H206" s="79">
        <v>2041.0</v>
      </c>
      <c r="I206" s="80" t="str">
        <f t="shared" si="7"/>
        <v>0</v>
      </c>
      <c r="J206" s="10"/>
      <c r="K206" s="17"/>
      <c r="L206" s="81"/>
      <c r="M206" s="17"/>
      <c r="N206" s="82">
        <f t="shared" si="9"/>
        <v>0</v>
      </c>
      <c r="O206" s="17"/>
      <c r="P206" s="87">
        <f t="shared" si="8"/>
        <v>0</v>
      </c>
      <c r="Q206" s="87">
        <f t="shared" si="10"/>
        <v>0</v>
      </c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76">
        <v>190.0</v>
      </c>
      <c r="F207" s="77">
        <f t="shared" si="12"/>
        <v>1</v>
      </c>
      <c r="G207" s="78" t="s">
        <v>28</v>
      </c>
      <c r="H207" s="79">
        <v>2041.0</v>
      </c>
      <c r="I207" s="80" t="str">
        <f t="shared" si="7"/>
        <v>0</v>
      </c>
      <c r="J207" s="10"/>
      <c r="K207" s="17"/>
      <c r="L207" s="81"/>
      <c r="M207" s="17"/>
      <c r="N207" s="82">
        <f t="shared" si="9"/>
        <v>0</v>
      </c>
      <c r="O207" s="17"/>
      <c r="P207" s="87">
        <f t="shared" si="8"/>
        <v>0</v>
      </c>
      <c r="Q207" s="87">
        <f t="shared" si="10"/>
        <v>0</v>
      </c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76">
        <v>191.0</v>
      </c>
      <c r="F208" s="77">
        <f t="shared" si="12"/>
        <v>1</v>
      </c>
      <c r="G208" s="78" t="s">
        <v>29</v>
      </c>
      <c r="H208" s="79">
        <v>2041.0</v>
      </c>
      <c r="I208" s="80" t="str">
        <f t="shared" si="7"/>
        <v>0</v>
      </c>
      <c r="J208" s="10"/>
      <c r="K208" s="17"/>
      <c r="L208" s="81"/>
      <c r="M208" s="17"/>
      <c r="N208" s="82">
        <f t="shared" si="9"/>
        <v>0</v>
      </c>
      <c r="O208" s="17"/>
      <c r="P208" s="87">
        <f t="shared" si="8"/>
        <v>0</v>
      </c>
      <c r="Q208" s="87">
        <f t="shared" si="10"/>
        <v>0</v>
      </c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76">
        <v>192.0</v>
      </c>
      <c r="F209" s="77">
        <f t="shared" si="12"/>
        <v>1</v>
      </c>
      <c r="G209" s="78" t="s">
        <v>30</v>
      </c>
      <c r="H209" s="79">
        <v>2041.0</v>
      </c>
      <c r="I209" s="80" t="str">
        <f t="shared" si="7"/>
        <v>0</v>
      </c>
      <c r="J209" s="10"/>
      <c r="K209" s="17"/>
      <c r="L209" s="81"/>
      <c r="M209" s="17"/>
      <c r="N209" s="82">
        <f t="shared" si="9"/>
        <v>0</v>
      </c>
      <c r="O209" s="17"/>
      <c r="P209" s="87">
        <f t="shared" si="8"/>
        <v>0</v>
      </c>
      <c r="Q209" s="87">
        <f t="shared" si="10"/>
        <v>0</v>
      </c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76">
        <v>193.0</v>
      </c>
      <c r="F210" s="77">
        <f t="shared" si="12"/>
        <v>1</v>
      </c>
      <c r="G210" s="78" t="s">
        <v>31</v>
      </c>
      <c r="H210" s="79">
        <v>2041.0</v>
      </c>
      <c r="I210" s="80" t="str">
        <f t="shared" si="7"/>
        <v>0</v>
      </c>
      <c r="J210" s="10"/>
      <c r="K210" s="17"/>
      <c r="L210" s="81"/>
      <c r="M210" s="17"/>
      <c r="N210" s="82">
        <f t="shared" si="9"/>
        <v>0</v>
      </c>
      <c r="O210" s="17"/>
      <c r="P210" s="87">
        <f t="shared" si="8"/>
        <v>0</v>
      </c>
      <c r="Q210" s="87">
        <f t="shared" si="10"/>
        <v>0</v>
      </c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76">
        <v>194.0</v>
      </c>
      <c r="F211" s="77">
        <f t="shared" si="12"/>
        <v>1</v>
      </c>
      <c r="G211" s="78" t="s">
        <v>32</v>
      </c>
      <c r="H211" s="79">
        <v>2041.0</v>
      </c>
      <c r="I211" s="80" t="str">
        <f t="shared" si="7"/>
        <v>0</v>
      </c>
      <c r="J211" s="10"/>
      <c r="K211" s="17"/>
      <c r="L211" s="81"/>
      <c r="M211" s="17"/>
      <c r="N211" s="82">
        <f t="shared" si="9"/>
        <v>0</v>
      </c>
      <c r="O211" s="17"/>
      <c r="P211" s="87">
        <f t="shared" si="8"/>
        <v>0</v>
      </c>
      <c r="Q211" s="87">
        <f t="shared" si="10"/>
        <v>0</v>
      </c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76">
        <v>195.0</v>
      </c>
      <c r="F212" s="77">
        <f t="shared" si="12"/>
        <v>1</v>
      </c>
      <c r="G212" s="78" t="s">
        <v>33</v>
      </c>
      <c r="H212" s="79">
        <v>2041.0</v>
      </c>
      <c r="I212" s="80" t="str">
        <f t="shared" si="7"/>
        <v>0</v>
      </c>
      <c r="J212" s="10"/>
      <c r="K212" s="17"/>
      <c r="L212" s="81"/>
      <c r="M212" s="17"/>
      <c r="N212" s="82">
        <f t="shared" si="9"/>
        <v>0</v>
      </c>
      <c r="O212" s="17"/>
      <c r="P212" s="87">
        <f t="shared" si="8"/>
        <v>0</v>
      </c>
      <c r="Q212" s="87">
        <f t="shared" si="10"/>
        <v>0</v>
      </c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76">
        <v>196.0</v>
      </c>
      <c r="F213" s="77">
        <f t="shared" si="12"/>
        <v>1</v>
      </c>
      <c r="G213" s="78" t="s">
        <v>34</v>
      </c>
      <c r="H213" s="79">
        <v>2041.0</v>
      </c>
      <c r="I213" s="80" t="str">
        <f t="shared" si="7"/>
        <v>0</v>
      </c>
      <c r="J213" s="10"/>
      <c r="K213" s="17"/>
      <c r="L213" s="81"/>
      <c r="M213" s="17"/>
      <c r="N213" s="82">
        <f t="shared" si="9"/>
        <v>0</v>
      </c>
      <c r="O213" s="17"/>
      <c r="P213" s="87">
        <f t="shared" si="8"/>
        <v>0</v>
      </c>
      <c r="Q213" s="87">
        <f t="shared" si="10"/>
        <v>0</v>
      </c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76">
        <v>197.0</v>
      </c>
      <c r="F214" s="77">
        <f t="shared" si="12"/>
        <v>1</v>
      </c>
      <c r="G214" s="78" t="s">
        <v>35</v>
      </c>
      <c r="H214" s="79">
        <v>2041.0</v>
      </c>
      <c r="I214" s="80" t="str">
        <f t="shared" si="7"/>
        <v>0</v>
      </c>
      <c r="J214" s="10"/>
      <c r="K214" s="17"/>
      <c r="L214" s="81"/>
      <c r="M214" s="17"/>
      <c r="N214" s="82">
        <f t="shared" si="9"/>
        <v>0</v>
      </c>
      <c r="O214" s="17"/>
      <c r="P214" s="87">
        <f t="shared" si="8"/>
        <v>0</v>
      </c>
      <c r="Q214" s="87">
        <f t="shared" si="10"/>
        <v>0</v>
      </c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76">
        <v>198.0</v>
      </c>
      <c r="F215" s="77">
        <f t="shared" si="12"/>
        <v>1</v>
      </c>
      <c r="G215" s="78" t="s">
        <v>36</v>
      </c>
      <c r="H215" s="79">
        <v>2041.0</v>
      </c>
      <c r="I215" s="80" t="str">
        <f t="shared" si="7"/>
        <v>0</v>
      </c>
      <c r="J215" s="10"/>
      <c r="K215" s="17"/>
      <c r="L215" s="81"/>
      <c r="M215" s="17"/>
      <c r="N215" s="82">
        <f t="shared" si="9"/>
        <v>0</v>
      </c>
      <c r="O215" s="17"/>
      <c r="P215" s="87">
        <f t="shared" si="8"/>
        <v>0</v>
      </c>
      <c r="Q215" s="87">
        <f t="shared" si="10"/>
        <v>0</v>
      </c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76">
        <v>199.0</v>
      </c>
      <c r="F216" s="77">
        <f t="shared" si="12"/>
        <v>1</v>
      </c>
      <c r="G216" s="78" t="s">
        <v>25</v>
      </c>
      <c r="H216" s="79">
        <f>IF(C216&gt;C215,H215,H215+1)</f>
        <v>2042</v>
      </c>
      <c r="I216" s="80" t="str">
        <f t="shared" si="7"/>
        <v>0</v>
      </c>
      <c r="J216" s="10"/>
      <c r="K216" s="17"/>
      <c r="L216" s="81"/>
      <c r="M216" s="17"/>
      <c r="N216" s="82">
        <f t="shared" si="9"/>
        <v>0</v>
      </c>
      <c r="O216" s="17"/>
      <c r="P216" s="87">
        <f t="shared" si="8"/>
        <v>0</v>
      </c>
      <c r="Q216" s="87">
        <f t="shared" si="10"/>
        <v>0</v>
      </c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76">
        <v>200.0</v>
      </c>
      <c r="F217" s="77">
        <f t="shared" si="12"/>
        <v>1</v>
      </c>
      <c r="G217" s="78" t="s">
        <v>26</v>
      </c>
      <c r="H217" s="79">
        <v>2042.0</v>
      </c>
      <c r="I217" s="80" t="str">
        <f t="shared" si="7"/>
        <v>0</v>
      </c>
      <c r="J217" s="10"/>
      <c r="K217" s="17"/>
      <c r="L217" s="81"/>
      <c r="M217" s="17"/>
      <c r="N217" s="82">
        <f t="shared" si="9"/>
        <v>0</v>
      </c>
      <c r="O217" s="17"/>
      <c r="P217" s="87">
        <f t="shared" si="8"/>
        <v>0</v>
      </c>
      <c r="Q217" s="87">
        <f t="shared" si="10"/>
        <v>0</v>
      </c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76">
        <v>201.0</v>
      </c>
      <c r="F218" s="77">
        <f t="shared" si="12"/>
        <v>1</v>
      </c>
      <c r="G218" s="78" t="s">
        <v>27</v>
      </c>
      <c r="H218" s="79">
        <v>2042.0</v>
      </c>
      <c r="I218" s="80" t="str">
        <f t="shared" si="7"/>
        <v>0</v>
      </c>
      <c r="J218" s="10"/>
      <c r="K218" s="17"/>
      <c r="L218" s="81"/>
      <c r="M218" s="17"/>
      <c r="N218" s="82">
        <f t="shared" si="9"/>
        <v>0</v>
      </c>
      <c r="O218" s="17"/>
      <c r="P218" s="87">
        <f t="shared" si="8"/>
        <v>0</v>
      </c>
      <c r="Q218" s="87">
        <f t="shared" si="10"/>
        <v>0</v>
      </c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76">
        <v>202.0</v>
      </c>
      <c r="F219" s="77">
        <f t="shared" si="12"/>
        <v>1</v>
      </c>
      <c r="G219" s="78" t="s">
        <v>28</v>
      </c>
      <c r="H219" s="79">
        <v>2042.0</v>
      </c>
      <c r="I219" s="80" t="str">
        <f t="shared" si="7"/>
        <v>0</v>
      </c>
      <c r="J219" s="10"/>
      <c r="K219" s="17"/>
      <c r="L219" s="81"/>
      <c r="M219" s="17"/>
      <c r="N219" s="82">
        <f t="shared" si="9"/>
        <v>0</v>
      </c>
      <c r="O219" s="17"/>
      <c r="P219" s="87">
        <f t="shared" si="8"/>
        <v>0</v>
      </c>
      <c r="Q219" s="87">
        <f t="shared" si="10"/>
        <v>0</v>
      </c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76">
        <v>203.0</v>
      </c>
      <c r="F220" s="77">
        <f t="shared" si="12"/>
        <v>1</v>
      </c>
      <c r="G220" s="78" t="s">
        <v>29</v>
      </c>
      <c r="H220" s="79">
        <v>2042.0</v>
      </c>
      <c r="I220" s="80" t="str">
        <f t="shared" si="7"/>
        <v>0</v>
      </c>
      <c r="J220" s="10"/>
      <c r="K220" s="17"/>
      <c r="L220" s="81"/>
      <c r="M220" s="17"/>
      <c r="N220" s="82">
        <f t="shared" si="9"/>
        <v>0</v>
      </c>
      <c r="O220" s="17"/>
      <c r="P220" s="87">
        <f t="shared" si="8"/>
        <v>0</v>
      </c>
      <c r="Q220" s="87">
        <f t="shared" si="10"/>
        <v>0</v>
      </c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76">
        <v>204.0</v>
      </c>
      <c r="F221" s="77">
        <f t="shared" si="12"/>
        <v>1</v>
      </c>
      <c r="G221" s="78" t="s">
        <v>30</v>
      </c>
      <c r="H221" s="79">
        <v>2042.0</v>
      </c>
      <c r="I221" s="80" t="str">
        <f t="shared" si="7"/>
        <v>0</v>
      </c>
      <c r="J221" s="10"/>
      <c r="K221" s="17"/>
      <c r="L221" s="81"/>
      <c r="M221" s="17"/>
      <c r="N221" s="82">
        <f t="shared" si="9"/>
        <v>0</v>
      </c>
      <c r="O221" s="17"/>
      <c r="P221" s="87">
        <f t="shared" si="8"/>
        <v>0</v>
      </c>
      <c r="Q221" s="87">
        <f t="shared" si="10"/>
        <v>0</v>
      </c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76">
        <v>205.0</v>
      </c>
      <c r="F222" s="77">
        <f t="shared" si="12"/>
        <v>1</v>
      </c>
      <c r="G222" s="78" t="s">
        <v>31</v>
      </c>
      <c r="H222" s="79">
        <v>2042.0</v>
      </c>
      <c r="I222" s="80" t="str">
        <f t="shared" si="7"/>
        <v>0</v>
      </c>
      <c r="J222" s="10"/>
      <c r="K222" s="17"/>
      <c r="L222" s="81"/>
      <c r="M222" s="17"/>
      <c r="N222" s="82">
        <f t="shared" si="9"/>
        <v>0</v>
      </c>
      <c r="O222" s="17"/>
      <c r="P222" s="87">
        <f t="shared" si="8"/>
        <v>0</v>
      </c>
      <c r="Q222" s="87">
        <f t="shared" si="10"/>
        <v>0</v>
      </c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76">
        <v>206.0</v>
      </c>
      <c r="F223" s="77">
        <f t="shared" si="12"/>
        <v>1</v>
      </c>
      <c r="G223" s="78" t="s">
        <v>32</v>
      </c>
      <c r="H223" s="79">
        <v>2042.0</v>
      </c>
      <c r="I223" s="80" t="str">
        <f t="shared" si="7"/>
        <v>0</v>
      </c>
      <c r="J223" s="10"/>
      <c r="K223" s="17"/>
      <c r="L223" s="81"/>
      <c r="M223" s="17"/>
      <c r="N223" s="82">
        <f t="shared" si="9"/>
        <v>0</v>
      </c>
      <c r="O223" s="17"/>
      <c r="P223" s="87">
        <f t="shared" si="8"/>
        <v>0</v>
      </c>
      <c r="Q223" s="87">
        <f t="shared" si="10"/>
        <v>0</v>
      </c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76">
        <v>207.0</v>
      </c>
      <c r="F224" s="77">
        <f t="shared" si="12"/>
        <v>1</v>
      </c>
      <c r="G224" s="78" t="s">
        <v>33</v>
      </c>
      <c r="H224" s="79">
        <v>2042.0</v>
      </c>
      <c r="I224" s="80" t="str">
        <f t="shared" si="7"/>
        <v>0</v>
      </c>
      <c r="J224" s="10"/>
      <c r="K224" s="17"/>
      <c r="L224" s="81"/>
      <c r="M224" s="17"/>
      <c r="N224" s="82">
        <f t="shared" si="9"/>
        <v>0</v>
      </c>
      <c r="O224" s="17"/>
      <c r="P224" s="87">
        <f t="shared" si="8"/>
        <v>0</v>
      </c>
      <c r="Q224" s="87">
        <f t="shared" si="10"/>
        <v>0</v>
      </c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76">
        <v>208.0</v>
      </c>
      <c r="F225" s="77">
        <f t="shared" si="12"/>
        <v>1</v>
      </c>
      <c r="G225" s="78" t="s">
        <v>34</v>
      </c>
      <c r="H225" s="79">
        <v>2042.0</v>
      </c>
      <c r="I225" s="80" t="str">
        <f t="shared" si="7"/>
        <v>0</v>
      </c>
      <c r="J225" s="10"/>
      <c r="K225" s="17"/>
      <c r="L225" s="81"/>
      <c r="M225" s="17"/>
      <c r="N225" s="82">
        <f t="shared" si="9"/>
        <v>0</v>
      </c>
      <c r="O225" s="17"/>
      <c r="P225" s="87">
        <f t="shared" si="8"/>
        <v>0</v>
      </c>
      <c r="Q225" s="87">
        <f t="shared" si="10"/>
        <v>0</v>
      </c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76">
        <v>209.0</v>
      </c>
      <c r="F226" s="77">
        <f t="shared" si="12"/>
        <v>1</v>
      </c>
      <c r="G226" s="78" t="s">
        <v>35</v>
      </c>
      <c r="H226" s="79">
        <v>2042.0</v>
      </c>
      <c r="I226" s="80" t="str">
        <f t="shared" si="7"/>
        <v>0</v>
      </c>
      <c r="J226" s="10"/>
      <c r="K226" s="17"/>
      <c r="L226" s="81"/>
      <c r="M226" s="17"/>
      <c r="N226" s="82">
        <f t="shared" si="9"/>
        <v>0</v>
      </c>
      <c r="O226" s="17"/>
      <c r="P226" s="87">
        <f t="shared" si="8"/>
        <v>0</v>
      </c>
      <c r="Q226" s="87">
        <f t="shared" si="10"/>
        <v>0</v>
      </c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76">
        <v>210.0</v>
      </c>
      <c r="F227" s="77">
        <f t="shared" si="12"/>
        <v>1</v>
      </c>
      <c r="G227" s="78" t="s">
        <v>36</v>
      </c>
      <c r="H227" s="79">
        <v>2042.0</v>
      </c>
      <c r="I227" s="80" t="str">
        <f t="shared" si="7"/>
        <v>0</v>
      </c>
      <c r="J227" s="10"/>
      <c r="K227" s="17"/>
      <c r="L227" s="81"/>
      <c r="M227" s="17"/>
      <c r="N227" s="82">
        <f t="shared" si="9"/>
        <v>0</v>
      </c>
      <c r="O227" s="17"/>
      <c r="P227" s="87">
        <f t="shared" si="8"/>
        <v>0</v>
      </c>
      <c r="Q227" s="87">
        <f t="shared" si="10"/>
        <v>0</v>
      </c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76">
        <v>211.0</v>
      </c>
      <c r="F228" s="77">
        <f t="shared" si="12"/>
        <v>1</v>
      </c>
      <c r="G228" s="78" t="s">
        <v>25</v>
      </c>
      <c r="H228" s="79">
        <f>IF(C228&gt;C227,H227,H227+1)</f>
        <v>2043</v>
      </c>
      <c r="I228" s="80" t="str">
        <f t="shared" si="7"/>
        <v>0</v>
      </c>
      <c r="J228" s="10"/>
      <c r="K228" s="17"/>
      <c r="L228" s="81"/>
      <c r="M228" s="17"/>
      <c r="N228" s="82">
        <f t="shared" si="9"/>
        <v>0</v>
      </c>
      <c r="O228" s="17"/>
      <c r="P228" s="87">
        <f t="shared" si="8"/>
        <v>0</v>
      </c>
      <c r="Q228" s="87">
        <f t="shared" si="10"/>
        <v>0</v>
      </c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76">
        <v>212.0</v>
      </c>
      <c r="F229" s="77">
        <f t="shared" si="12"/>
        <v>1</v>
      </c>
      <c r="G229" s="78" t="s">
        <v>26</v>
      </c>
      <c r="H229" s="79">
        <v>2043.0</v>
      </c>
      <c r="I229" s="80" t="str">
        <f t="shared" si="7"/>
        <v>0</v>
      </c>
      <c r="J229" s="10"/>
      <c r="K229" s="17"/>
      <c r="L229" s="81"/>
      <c r="M229" s="17"/>
      <c r="N229" s="82">
        <f t="shared" si="9"/>
        <v>0</v>
      </c>
      <c r="O229" s="17"/>
      <c r="P229" s="87">
        <f t="shared" si="8"/>
        <v>0</v>
      </c>
      <c r="Q229" s="87">
        <f t="shared" si="10"/>
        <v>0</v>
      </c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76">
        <v>213.0</v>
      </c>
      <c r="F230" s="77">
        <f t="shared" si="12"/>
        <v>1</v>
      </c>
      <c r="G230" s="78" t="s">
        <v>27</v>
      </c>
      <c r="H230" s="79">
        <v>2043.0</v>
      </c>
      <c r="I230" s="80" t="str">
        <f t="shared" si="7"/>
        <v>0</v>
      </c>
      <c r="J230" s="10"/>
      <c r="K230" s="17"/>
      <c r="L230" s="81"/>
      <c r="M230" s="17"/>
      <c r="N230" s="82">
        <f t="shared" si="9"/>
        <v>0</v>
      </c>
      <c r="O230" s="17"/>
      <c r="P230" s="87">
        <f t="shared" si="8"/>
        <v>0</v>
      </c>
      <c r="Q230" s="87">
        <f t="shared" si="10"/>
        <v>0</v>
      </c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76">
        <v>214.0</v>
      </c>
      <c r="F231" s="77">
        <f t="shared" si="12"/>
        <v>1</v>
      </c>
      <c r="G231" s="78" t="s">
        <v>28</v>
      </c>
      <c r="H231" s="79">
        <v>2043.0</v>
      </c>
      <c r="I231" s="80" t="str">
        <f t="shared" si="7"/>
        <v>0</v>
      </c>
      <c r="J231" s="10"/>
      <c r="K231" s="17"/>
      <c r="L231" s="81"/>
      <c r="M231" s="17"/>
      <c r="N231" s="82">
        <f t="shared" si="9"/>
        <v>0</v>
      </c>
      <c r="O231" s="17"/>
      <c r="P231" s="87">
        <f t="shared" si="8"/>
        <v>0</v>
      </c>
      <c r="Q231" s="87">
        <f t="shared" si="10"/>
        <v>0</v>
      </c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76">
        <v>215.0</v>
      </c>
      <c r="F232" s="77">
        <f t="shared" si="12"/>
        <v>1</v>
      </c>
      <c r="G232" s="78" t="s">
        <v>29</v>
      </c>
      <c r="H232" s="79">
        <v>2043.0</v>
      </c>
      <c r="I232" s="80" t="str">
        <f t="shared" si="7"/>
        <v>0</v>
      </c>
      <c r="J232" s="10"/>
      <c r="K232" s="17"/>
      <c r="L232" s="81"/>
      <c r="M232" s="17"/>
      <c r="N232" s="82">
        <f t="shared" si="9"/>
        <v>0</v>
      </c>
      <c r="O232" s="17"/>
      <c r="P232" s="87">
        <f t="shared" si="8"/>
        <v>0</v>
      </c>
      <c r="Q232" s="87">
        <f t="shared" si="10"/>
        <v>0</v>
      </c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76">
        <v>216.0</v>
      </c>
      <c r="F233" s="77">
        <f t="shared" si="12"/>
        <v>1</v>
      </c>
      <c r="G233" s="78" t="s">
        <v>30</v>
      </c>
      <c r="H233" s="79">
        <v>2043.0</v>
      </c>
      <c r="I233" s="80" t="str">
        <f t="shared" si="7"/>
        <v>0</v>
      </c>
      <c r="J233" s="10"/>
      <c r="K233" s="17"/>
      <c r="L233" s="81"/>
      <c r="M233" s="17"/>
      <c r="N233" s="82">
        <f t="shared" si="9"/>
        <v>0</v>
      </c>
      <c r="O233" s="17"/>
      <c r="P233" s="87">
        <f t="shared" si="8"/>
        <v>0</v>
      </c>
      <c r="Q233" s="87">
        <f t="shared" si="10"/>
        <v>0</v>
      </c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76">
        <v>217.0</v>
      </c>
      <c r="F234" s="77">
        <f t="shared" si="12"/>
        <v>1</v>
      </c>
      <c r="G234" s="78" t="s">
        <v>31</v>
      </c>
      <c r="H234" s="79">
        <v>2043.0</v>
      </c>
      <c r="I234" s="80" t="str">
        <f t="shared" si="7"/>
        <v>0</v>
      </c>
      <c r="J234" s="10"/>
      <c r="K234" s="17"/>
      <c r="L234" s="81"/>
      <c r="M234" s="17"/>
      <c r="N234" s="82">
        <f t="shared" si="9"/>
        <v>0</v>
      </c>
      <c r="O234" s="17"/>
      <c r="P234" s="87">
        <f t="shared" si="8"/>
        <v>0</v>
      </c>
      <c r="Q234" s="87">
        <f t="shared" si="10"/>
        <v>0</v>
      </c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76">
        <v>218.0</v>
      </c>
      <c r="F235" s="77">
        <f t="shared" si="12"/>
        <v>1</v>
      </c>
      <c r="G235" s="78" t="s">
        <v>32</v>
      </c>
      <c r="H235" s="79">
        <v>2043.0</v>
      </c>
      <c r="I235" s="80" t="str">
        <f t="shared" si="7"/>
        <v>0</v>
      </c>
      <c r="J235" s="10"/>
      <c r="K235" s="17"/>
      <c r="L235" s="81"/>
      <c r="M235" s="17"/>
      <c r="N235" s="82">
        <f t="shared" si="9"/>
        <v>0</v>
      </c>
      <c r="O235" s="17"/>
      <c r="P235" s="87">
        <f t="shared" si="8"/>
        <v>0</v>
      </c>
      <c r="Q235" s="87">
        <f t="shared" si="10"/>
        <v>0</v>
      </c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76">
        <v>219.0</v>
      </c>
      <c r="F236" s="77">
        <f t="shared" si="12"/>
        <v>1</v>
      </c>
      <c r="G236" s="78" t="s">
        <v>33</v>
      </c>
      <c r="H236" s="79">
        <v>2043.0</v>
      </c>
      <c r="I236" s="80" t="str">
        <f t="shared" si="7"/>
        <v>0</v>
      </c>
      <c r="J236" s="10"/>
      <c r="K236" s="17"/>
      <c r="L236" s="81"/>
      <c r="M236" s="17"/>
      <c r="N236" s="82">
        <f t="shared" si="9"/>
        <v>0</v>
      </c>
      <c r="O236" s="17"/>
      <c r="P236" s="87">
        <f t="shared" si="8"/>
        <v>0</v>
      </c>
      <c r="Q236" s="87">
        <f t="shared" si="10"/>
        <v>0</v>
      </c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76">
        <v>220.0</v>
      </c>
      <c r="F237" s="77">
        <f t="shared" si="12"/>
        <v>1</v>
      </c>
      <c r="G237" s="78" t="s">
        <v>34</v>
      </c>
      <c r="H237" s="79">
        <v>2043.0</v>
      </c>
      <c r="I237" s="80" t="str">
        <f t="shared" si="7"/>
        <v>0</v>
      </c>
      <c r="J237" s="10"/>
      <c r="K237" s="17"/>
      <c r="L237" s="81"/>
      <c r="M237" s="17"/>
      <c r="N237" s="82">
        <f t="shared" si="9"/>
        <v>0</v>
      </c>
      <c r="O237" s="17"/>
      <c r="P237" s="87">
        <f t="shared" si="8"/>
        <v>0</v>
      </c>
      <c r="Q237" s="87">
        <f t="shared" si="10"/>
        <v>0</v>
      </c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76">
        <v>221.0</v>
      </c>
      <c r="F238" s="77">
        <f t="shared" si="12"/>
        <v>1</v>
      </c>
      <c r="G238" s="78" t="s">
        <v>35</v>
      </c>
      <c r="H238" s="79">
        <v>2043.0</v>
      </c>
      <c r="I238" s="80" t="str">
        <f t="shared" si="7"/>
        <v>0</v>
      </c>
      <c r="J238" s="10"/>
      <c r="K238" s="17"/>
      <c r="L238" s="81"/>
      <c r="M238" s="17"/>
      <c r="N238" s="82">
        <f t="shared" si="9"/>
        <v>0</v>
      </c>
      <c r="O238" s="17"/>
      <c r="P238" s="87">
        <f t="shared" si="8"/>
        <v>0</v>
      </c>
      <c r="Q238" s="87">
        <f t="shared" si="10"/>
        <v>0</v>
      </c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76">
        <v>222.0</v>
      </c>
      <c r="F239" s="77">
        <f t="shared" si="12"/>
        <v>1</v>
      </c>
      <c r="G239" s="78" t="s">
        <v>36</v>
      </c>
      <c r="H239" s="79">
        <v>2043.0</v>
      </c>
      <c r="I239" s="80" t="str">
        <f t="shared" si="7"/>
        <v>0</v>
      </c>
      <c r="J239" s="10"/>
      <c r="K239" s="17"/>
      <c r="L239" s="81"/>
      <c r="M239" s="17"/>
      <c r="N239" s="82">
        <f t="shared" si="9"/>
        <v>0</v>
      </c>
      <c r="O239" s="17"/>
      <c r="P239" s="87">
        <f t="shared" si="8"/>
        <v>0</v>
      </c>
      <c r="Q239" s="87">
        <f t="shared" si="10"/>
        <v>0</v>
      </c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76">
        <v>223.0</v>
      </c>
      <c r="F240" s="77">
        <f t="shared" si="12"/>
        <v>1</v>
      </c>
      <c r="G240" s="78" t="s">
        <v>25</v>
      </c>
      <c r="H240" s="79">
        <f>IF(C240&gt;C239,H239,H239+1)</f>
        <v>2044</v>
      </c>
      <c r="I240" s="80" t="str">
        <f t="shared" si="7"/>
        <v>0</v>
      </c>
      <c r="J240" s="10"/>
      <c r="K240" s="17"/>
      <c r="L240" s="81"/>
      <c r="M240" s="17"/>
      <c r="N240" s="82">
        <f t="shared" si="9"/>
        <v>0</v>
      </c>
      <c r="O240" s="17"/>
      <c r="P240" s="87">
        <f t="shared" si="8"/>
        <v>0</v>
      </c>
      <c r="Q240" s="87">
        <f t="shared" si="10"/>
        <v>0</v>
      </c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76">
        <v>224.0</v>
      </c>
      <c r="F241" s="77">
        <f t="shared" si="12"/>
        <v>1</v>
      </c>
      <c r="G241" s="78" t="s">
        <v>26</v>
      </c>
      <c r="H241" s="79">
        <v>2044.0</v>
      </c>
      <c r="I241" s="80" t="str">
        <f t="shared" si="7"/>
        <v>0</v>
      </c>
      <c r="J241" s="10"/>
      <c r="K241" s="17"/>
      <c r="L241" s="81"/>
      <c r="M241" s="17"/>
      <c r="N241" s="82">
        <f t="shared" si="9"/>
        <v>0</v>
      </c>
      <c r="O241" s="17"/>
      <c r="P241" s="87">
        <f t="shared" si="8"/>
        <v>0</v>
      </c>
      <c r="Q241" s="87">
        <f t="shared" si="10"/>
        <v>0</v>
      </c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76">
        <v>225.0</v>
      </c>
      <c r="F242" s="77">
        <f t="shared" si="12"/>
        <v>1</v>
      </c>
      <c r="G242" s="78" t="s">
        <v>27</v>
      </c>
      <c r="H242" s="79">
        <v>2044.0</v>
      </c>
      <c r="I242" s="80" t="str">
        <f t="shared" si="7"/>
        <v>0</v>
      </c>
      <c r="J242" s="10"/>
      <c r="K242" s="17"/>
      <c r="L242" s="81"/>
      <c r="M242" s="17"/>
      <c r="N242" s="82">
        <f t="shared" si="9"/>
        <v>0</v>
      </c>
      <c r="O242" s="17"/>
      <c r="P242" s="87">
        <f t="shared" si="8"/>
        <v>0</v>
      </c>
      <c r="Q242" s="87">
        <f t="shared" si="10"/>
        <v>0</v>
      </c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76">
        <v>226.0</v>
      </c>
      <c r="F243" s="77">
        <f t="shared" si="12"/>
        <v>1</v>
      </c>
      <c r="G243" s="78" t="s">
        <v>28</v>
      </c>
      <c r="H243" s="79">
        <v>2044.0</v>
      </c>
      <c r="I243" s="80" t="str">
        <f t="shared" si="7"/>
        <v>0</v>
      </c>
      <c r="J243" s="10"/>
      <c r="K243" s="17"/>
      <c r="L243" s="81"/>
      <c r="M243" s="17"/>
      <c r="N243" s="82">
        <f t="shared" si="9"/>
        <v>0</v>
      </c>
      <c r="O243" s="17"/>
      <c r="P243" s="87">
        <f t="shared" si="8"/>
        <v>0</v>
      </c>
      <c r="Q243" s="87">
        <f t="shared" si="10"/>
        <v>0</v>
      </c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76">
        <v>227.0</v>
      </c>
      <c r="F244" s="77">
        <f t="shared" si="12"/>
        <v>1</v>
      </c>
      <c r="G244" s="78" t="s">
        <v>29</v>
      </c>
      <c r="H244" s="79">
        <v>2044.0</v>
      </c>
      <c r="I244" s="80" t="str">
        <f t="shared" si="7"/>
        <v>0</v>
      </c>
      <c r="J244" s="10"/>
      <c r="K244" s="17"/>
      <c r="L244" s="81"/>
      <c r="M244" s="17"/>
      <c r="N244" s="82">
        <f t="shared" si="9"/>
        <v>0</v>
      </c>
      <c r="O244" s="17"/>
      <c r="P244" s="87">
        <f t="shared" si="8"/>
        <v>0</v>
      </c>
      <c r="Q244" s="87">
        <f t="shared" si="10"/>
        <v>0</v>
      </c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76">
        <v>228.0</v>
      </c>
      <c r="F245" s="77">
        <f t="shared" si="12"/>
        <v>1</v>
      </c>
      <c r="G245" s="78" t="s">
        <v>30</v>
      </c>
      <c r="H245" s="79">
        <v>2044.0</v>
      </c>
      <c r="I245" s="80" t="str">
        <f t="shared" si="7"/>
        <v>0</v>
      </c>
      <c r="J245" s="10"/>
      <c r="K245" s="17"/>
      <c r="L245" s="81"/>
      <c r="M245" s="17"/>
      <c r="N245" s="82">
        <f t="shared" si="9"/>
        <v>0</v>
      </c>
      <c r="O245" s="17"/>
      <c r="P245" s="87">
        <f t="shared" si="8"/>
        <v>0</v>
      </c>
      <c r="Q245" s="87">
        <f t="shared" si="10"/>
        <v>0</v>
      </c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76">
        <v>229.0</v>
      </c>
      <c r="F246" s="77">
        <f t="shared" si="12"/>
        <v>1</v>
      </c>
      <c r="G246" s="78" t="s">
        <v>31</v>
      </c>
      <c r="H246" s="79">
        <v>2045.0</v>
      </c>
      <c r="I246" s="80" t="str">
        <f t="shared" si="7"/>
        <v>0</v>
      </c>
      <c r="J246" s="10"/>
      <c r="K246" s="17"/>
      <c r="L246" s="81"/>
      <c r="M246" s="17"/>
      <c r="N246" s="82">
        <f t="shared" si="9"/>
        <v>0</v>
      </c>
      <c r="O246" s="17"/>
      <c r="P246" s="87">
        <f t="shared" si="8"/>
        <v>0</v>
      </c>
      <c r="Q246" s="87">
        <f t="shared" si="10"/>
        <v>0</v>
      </c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76">
        <v>230.0</v>
      </c>
      <c r="F247" s="77">
        <f t="shared" si="12"/>
        <v>1</v>
      </c>
      <c r="G247" s="78" t="s">
        <v>32</v>
      </c>
      <c r="H247" s="79">
        <v>2046.0</v>
      </c>
      <c r="I247" s="80" t="str">
        <f t="shared" si="7"/>
        <v>0</v>
      </c>
      <c r="J247" s="10"/>
      <c r="K247" s="17"/>
      <c r="L247" s="81"/>
      <c r="M247" s="17"/>
      <c r="N247" s="82">
        <f t="shared" si="9"/>
        <v>0</v>
      </c>
      <c r="O247" s="17"/>
      <c r="P247" s="87">
        <f t="shared" si="8"/>
        <v>0</v>
      </c>
      <c r="Q247" s="87">
        <f t="shared" si="10"/>
        <v>0</v>
      </c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76">
        <v>231.0</v>
      </c>
      <c r="F248" s="77">
        <f t="shared" si="12"/>
        <v>1</v>
      </c>
      <c r="G248" s="78" t="s">
        <v>33</v>
      </c>
      <c r="H248" s="79">
        <v>2047.0</v>
      </c>
      <c r="I248" s="80" t="str">
        <f t="shared" si="7"/>
        <v>0</v>
      </c>
      <c r="J248" s="10"/>
      <c r="K248" s="17"/>
      <c r="L248" s="81"/>
      <c r="M248" s="17"/>
      <c r="N248" s="82">
        <f t="shared" si="9"/>
        <v>0</v>
      </c>
      <c r="O248" s="17"/>
      <c r="P248" s="87">
        <f t="shared" si="8"/>
        <v>0</v>
      </c>
      <c r="Q248" s="87">
        <f t="shared" si="10"/>
        <v>0</v>
      </c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2"/>
      <c r="F249" s="10"/>
      <c r="G249" s="10"/>
      <c r="H249" s="10"/>
      <c r="I249" s="10"/>
      <c r="J249" s="10"/>
      <c r="K249" s="17"/>
      <c r="L249" s="82">
        <f>SUM(L19:L78)</f>
        <v>0</v>
      </c>
      <c r="M249" s="17"/>
      <c r="N249" s="82">
        <f>SUM(N19:N248)</f>
        <v>128000</v>
      </c>
      <c r="O249" s="17"/>
      <c r="P249" s="83">
        <f t="shared" ref="P249:Q249" si="13">SUM(P19:P248)</f>
        <v>42452</v>
      </c>
      <c r="Q249" s="83">
        <f t="shared" si="13"/>
        <v>170452</v>
      </c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5"/>
      <c r="B368" s="5"/>
      <c r="C368" s="5"/>
      <c r="D368" s="5"/>
      <c r="E368" s="93"/>
      <c r="F368" s="94"/>
      <c r="G368" s="94"/>
      <c r="H368" s="94"/>
      <c r="I368" s="94"/>
      <c r="J368" s="94"/>
      <c r="K368" s="94"/>
      <c r="L368" s="94"/>
      <c r="M368" s="95"/>
      <c r="N368" s="95"/>
      <c r="O368" s="2"/>
      <c r="P368" s="2"/>
      <c r="Q368" s="96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5"/>
      <c r="B369" s="5"/>
      <c r="C369" s="5"/>
      <c r="D369" s="5"/>
      <c r="E369" s="93"/>
      <c r="F369" s="94"/>
      <c r="G369" s="94"/>
      <c r="H369" s="94"/>
      <c r="I369" s="94"/>
      <c r="J369" s="94"/>
      <c r="K369" s="94"/>
      <c r="L369" s="94"/>
      <c r="M369" s="95"/>
      <c r="N369" s="95"/>
      <c r="O369" s="2"/>
      <c r="P369" s="2"/>
      <c r="Q369" s="96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5"/>
      <c r="B370" s="5"/>
      <c r="C370" s="5"/>
      <c r="D370" s="5"/>
      <c r="E370" s="93"/>
      <c r="F370" s="94"/>
      <c r="G370" s="94"/>
      <c r="H370" s="94"/>
      <c r="I370" s="94"/>
      <c r="J370" s="94"/>
      <c r="K370" s="94"/>
      <c r="L370" s="94"/>
      <c r="M370" s="95"/>
      <c r="N370" s="95"/>
      <c r="O370" s="2"/>
      <c r="P370" s="2"/>
      <c r="Q370" s="96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5"/>
      <c r="B371" s="5"/>
      <c r="C371" s="5"/>
      <c r="D371" s="5"/>
      <c r="E371" s="93"/>
      <c r="F371" s="94"/>
      <c r="G371" s="94"/>
      <c r="H371" s="94"/>
      <c r="I371" s="94"/>
      <c r="J371" s="94"/>
      <c r="K371" s="94"/>
      <c r="L371" s="94"/>
      <c r="M371" s="95"/>
      <c r="N371" s="95"/>
      <c r="O371" s="2"/>
      <c r="P371" s="2"/>
      <c r="Q371" s="96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5"/>
      <c r="B372" s="5"/>
      <c r="C372" s="5"/>
      <c r="D372" s="5"/>
      <c r="E372" s="93"/>
      <c r="F372" s="94"/>
      <c r="G372" s="94"/>
      <c r="H372" s="94"/>
      <c r="I372" s="94"/>
      <c r="J372" s="94"/>
      <c r="K372" s="94"/>
      <c r="L372" s="94"/>
      <c r="M372" s="95"/>
      <c r="N372" s="95"/>
      <c r="O372" s="2"/>
      <c r="P372" s="2"/>
      <c r="Q372" s="96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5"/>
      <c r="B373" s="5"/>
      <c r="C373" s="5"/>
      <c r="D373" s="5"/>
      <c r="E373" s="93"/>
      <c r="F373" s="94"/>
      <c r="G373" s="94"/>
      <c r="H373" s="94"/>
      <c r="I373" s="94"/>
      <c r="J373" s="94"/>
      <c r="K373" s="94"/>
      <c r="L373" s="94"/>
      <c r="M373" s="95"/>
      <c r="N373" s="95"/>
      <c r="O373" s="2"/>
      <c r="P373" s="2"/>
      <c r="Q373" s="96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5"/>
      <c r="B374" s="5"/>
      <c r="C374" s="5"/>
      <c r="D374" s="5"/>
      <c r="E374" s="93"/>
      <c r="F374" s="94"/>
      <c r="G374" s="94"/>
      <c r="H374" s="94"/>
      <c r="I374" s="94"/>
      <c r="J374" s="94"/>
      <c r="K374" s="94"/>
      <c r="L374" s="94"/>
      <c r="M374" s="95"/>
      <c r="N374" s="95"/>
      <c r="O374" s="2"/>
      <c r="P374" s="2"/>
      <c r="Q374" s="96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5"/>
      <c r="B375" s="5"/>
      <c r="C375" s="5"/>
      <c r="D375" s="5"/>
      <c r="E375" s="93"/>
      <c r="F375" s="94"/>
      <c r="G375" s="94"/>
      <c r="H375" s="94"/>
      <c r="I375" s="94"/>
      <c r="J375" s="94"/>
      <c r="K375" s="94"/>
      <c r="L375" s="94"/>
      <c r="M375" s="95"/>
      <c r="N375" s="95"/>
      <c r="O375" s="2"/>
      <c r="P375" s="2"/>
      <c r="Q375" s="96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5"/>
      <c r="B376" s="5"/>
      <c r="C376" s="5"/>
      <c r="D376" s="5"/>
      <c r="E376" s="93"/>
      <c r="F376" s="94"/>
      <c r="G376" s="94"/>
      <c r="H376" s="94"/>
      <c r="I376" s="94"/>
      <c r="J376" s="94"/>
      <c r="K376" s="94"/>
      <c r="L376" s="94"/>
      <c r="M376" s="95"/>
      <c r="N376" s="95"/>
      <c r="O376" s="2"/>
      <c r="P376" s="2"/>
      <c r="Q376" s="96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5"/>
      <c r="B377" s="5"/>
      <c r="C377" s="5"/>
      <c r="D377" s="5"/>
      <c r="E377" s="93"/>
      <c r="F377" s="94"/>
      <c r="G377" s="94"/>
      <c r="H377" s="94"/>
      <c r="I377" s="94"/>
      <c r="J377" s="94"/>
      <c r="K377" s="94"/>
      <c r="L377" s="94"/>
      <c r="M377" s="95"/>
      <c r="N377" s="95"/>
      <c r="O377" s="2"/>
      <c r="P377" s="2"/>
      <c r="Q377" s="96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5"/>
      <c r="B378" s="5"/>
      <c r="C378" s="5"/>
      <c r="D378" s="5"/>
      <c r="E378" s="93"/>
      <c r="F378" s="94"/>
      <c r="G378" s="94"/>
      <c r="H378" s="94"/>
      <c r="I378" s="94"/>
      <c r="J378" s="94"/>
      <c r="K378" s="94"/>
      <c r="L378" s="94"/>
      <c r="M378" s="95"/>
      <c r="N378" s="95"/>
      <c r="O378" s="2"/>
      <c r="P378" s="2"/>
      <c r="Q378" s="96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5"/>
      <c r="B379" s="5"/>
      <c r="C379" s="5"/>
      <c r="D379" s="5"/>
      <c r="E379" s="93"/>
      <c r="F379" s="94"/>
      <c r="G379" s="94"/>
      <c r="H379" s="94"/>
      <c r="I379" s="94"/>
      <c r="J379" s="94"/>
      <c r="K379" s="94"/>
      <c r="L379" s="94"/>
      <c r="M379" s="95"/>
      <c r="N379" s="95"/>
      <c r="O379" s="2"/>
      <c r="P379" s="2"/>
      <c r="Q379" s="96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5"/>
      <c r="B380" s="5"/>
      <c r="C380" s="5"/>
      <c r="D380" s="5"/>
      <c r="E380" s="93"/>
      <c r="F380" s="94"/>
      <c r="G380" s="94"/>
      <c r="H380" s="94"/>
      <c r="I380" s="94"/>
      <c r="J380" s="94"/>
      <c r="K380" s="94"/>
      <c r="L380" s="94"/>
      <c r="M380" s="95"/>
      <c r="N380" s="95"/>
      <c r="O380" s="2"/>
      <c r="P380" s="2"/>
      <c r="Q380" s="96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5"/>
      <c r="B381" s="5"/>
      <c r="C381" s="5"/>
      <c r="D381" s="5"/>
      <c r="E381" s="93"/>
      <c r="F381" s="94"/>
      <c r="G381" s="94"/>
      <c r="H381" s="94"/>
      <c r="I381" s="94"/>
      <c r="J381" s="94"/>
      <c r="K381" s="94"/>
      <c r="L381" s="94"/>
      <c r="M381" s="95"/>
      <c r="N381" s="95"/>
      <c r="O381" s="2"/>
      <c r="P381" s="2"/>
      <c r="Q381" s="96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5"/>
      <c r="B382" s="5"/>
      <c r="C382" s="5"/>
      <c r="D382" s="5"/>
      <c r="E382" s="93"/>
      <c r="F382" s="94"/>
      <c r="G382" s="94"/>
      <c r="H382" s="94"/>
      <c r="I382" s="94"/>
      <c r="J382" s="94"/>
      <c r="K382" s="94"/>
      <c r="L382" s="94"/>
      <c r="M382" s="95"/>
      <c r="N382" s="95"/>
      <c r="O382" s="2"/>
      <c r="P382" s="2"/>
      <c r="Q382" s="96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5"/>
      <c r="B383" s="5"/>
      <c r="C383" s="5"/>
      <c r="D383" s="5"/>
      <c r="E383" s="93"/>
      <c r="F383" s="94"/>
      <c r="G383" s="94"/>
      <c r="H383" s="94"/>
      <c r="I383" s="94"/>
      <c r="J383" s="94"/>
      <c r="K383" s="94"/>
      <c r="L383" s="94"/>
      <c r="M383" s="95"/>
      <c r="N383" s="95"/>
      <c r="O383" s="2"/>
      <c r="P383" s="2"/>
      <c r="Q383" s="96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5"/>
      <c r="B384" s="5"/>
      <c r="C384" s="5"/>
      <c r="D384" s="5"/>
      <c r="E384" s="93"/>
      <c r="F384" s="94"/>
      <c r="G384" s="94"/>
      <c r="H384" s="94"/>
      <c r="I384" s="94"/>
      <c r="J384" s="94"/>
      <c r="K384" s="94"/>
      <c r="L384" s="94"/>
      <c r="M384" s="95"/>
      <c r="N384" s="95"/>
      <c r="O384" s="2"/>
      <c r="P384" s="2"/>
      <c r="Q384" s="96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5"/>
      <c r="B385" s="5"/>
      <c r="C385" s="5"/>
      <c r="D385" s="5"/>
      <c r="E385" s="93"/>
      <c r="F385" s="94"/>
      <c r="G385" s="94"/>
      <c r="H385" s="94"/>
      <c r="I385" s="94"/>
      <c r="J385" s="94"/>
      <c r="K385" s="94"/>
      <c r="L385" s="94"/>
      <c r="M385" s="95"/>
      <c r="N385" s="95"/>
      <c r="O385" s="2"/>
      <c r="P385" s="2"/>
      <c r="Q385" s="96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5"/>
      <c r="B386" s="5"/>
      <c r="C386" s="5"/>
      <c r="D386" s="5"/>
      <c r="E386" s="93"/>
      <c r="F386" s="94"/>
      <c r="G386" s="94"/>
      <c r="H386" s="94"/>
      <c r="I386" s="94"/>
      <c r="J386" s="94"/>
      <c r="K386" s="94"/>
      <c r="L386" s="94"/>
      <c r="M386" s="95"/>
      <c r="N386" s="95"/>
      <c r="O386" s="2"/>
      <c r="P386" s="2"/>
      <c r="Q386" s="96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5"/>
      <c r="B387" s="5"/>
      <c r="C387" s="5"/>
      <c r="D387" s="5"/>
      <c r="E387" s="93"/>
      <c r="F387" s="94"/>
      <c r="G387" s="94"/>
      <c r="H387" s="94"/>
      <c r="I387" s="94"/>
      <c r="J387" s="94"/>
      <c r="K387" s="94"/>
      <c r="L387" s="94"/>
      <c r="M387" s="95"/>
      <c r="N387" s="95"/>
      <c r="O387" s="2"/>
      <c r="P387" s="2"/>
      <c r="Q387" s="96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5"/>
      <c r="B388" s="5"/>
      <c r="C388" s="5"/>
      <c r="D388" s="5"/>
      <c r="E388" s="93"/>
      <c r="F388" s="94"/>
      <c r="G388" s="94"/>
      <c r="H388" s="94"/>
      <c r="I388" s="94"/>
      <c r="J388" s="94"/>
      <c r="K388" s="94"/>
      <c r="L388" s="94"/>
      <c r="M388" s="95"/>
      <c r="N388" s="95"/>
      <c r="O388" s="2"/>
      <c r="P388" s="2"/>
      <c r="Q388" s="96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5"/>
      <c r="B389" s="5"/>
      <c r="C389" s="5"/>
      <c r="D389" s="5"/>
      <c r="E389" s="93"/>
      <c r="F389" s="94"/>
      <c r="G389" s="94"/>
      <c r="H389" s="94"/>
      <c r="I389" s="94"/>
      <c r="J389" s="94"/>
      <c r="K389" s="94"/>
      <c r="L389" s="94"/>
      <c r="M389" s="95"/>
      <c r="N389" s="95"/>
      <c r="O389" s="2"/>
      <c r="P389" s="2"/>
      <c r="Q389" s="96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5"/>
      <c r="B390" s="5"/>
      <c r="C390" s="5"/>
      <c r="D390" s="5"/>
      <c r="E390" s="93"/>
      <c r="F390" s="94"/>
      <c r="G390" s="94"/>
      <c r="H390" s="94"/>
      <c r="I390" s="94"/>
      <c r="J390" s="94"/>
      <c r="K390" s="94"/>
      <c r="L390" s="94"/>
      <c r="M390" s="95"/>
      <c r="N390" s="95"/>
      <c r="O390" s="2"/>
      <c r="P390" s="2"/>
      <c r="Q390" s="96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5"/>
      <c r="B391" s="5"/>
      <c r="C391" s="5"/>
      <c r="D391" s="5"/>
      <c r="E391" s="93"/>
      <c r="F391" s="94"/>
      <c r="G391" s="94"/>
      <c r="H391" s="94"/>
      <c r="I391" s="94"/>
      <c r="J391" s="94"/>
      <c r="K391" s="94"/>
      <c r="L391" s="94"/>
      <c r="M391" s="95"/>
      <c r="N391" s="95"/>
      <c r="O391" s="2"/>
      <c r="P391" s="2"/>
      <c r="Q391" s="96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5"/>
      <c r="B392" s="5"/>
      <c r="C392" s="5"/>
      <c r="D392" s="5"/>
      <c r="E392" s="93"/>
      <c r="F392" s="94"/>
      <c r="G392" s="94"/>
      <c r="H392" s="94"/>
      <c r="I392" s="94"/>
      <c r="J392" s="94"/>
      <c r="K392" s="94"/>
      <c r="L392" s="94"/>
      <c r="M392" s="95"/>
      <c r="N392" s="95"/>
      <c r="O392" s="2"/>
      <c r="P392" s="2"/>
      <c r="Q392" s="96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5"/>
      <c r="B393" s="5"/>
      <c r="C393" s="5"/>
      <c r="D393" s="5"/>
      <c r="E393" s="93"/>
      <c r="F393" s="94"/>
      <c r="G393" s="94"/>
      <c r="H393" s="94"/>
      <c r="I393" s="94"/>
      <c r="J393" s="94"/>
      <c r="K393" s="94"/>
      <c r="L393" s="94"/>
      <c r="M393" s="95"/>
      <c r="N393" s="95"/>
      <c r="O393" s="2"/>
      <c r="P393" s="2"/>
      <c r="Q393" s="96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5"/>
      <c r="B394" s="5"/>
      <c r="C394" s="5"/>
      <c r="D394" s="5"/>
      <c r="E394" s="93"/>
      <c r="F394" s="94"/>
      <c r="G394" s="94"/>
      <c r="H394" s="94"/>
      <c r="I394" s="94"/>
      <c r="J394" s="94"/>
      <c r="K394" s="94"/>
      <c r="L394" s="94"/>
      <c r="M394" s="95"/>
      <c r="N394" s="95"/>
      <c r="O394" s="2"/>
      <c r="P394" s="2"/>
      <c r="Q394" s="96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5"/>
      <c r="B395" s="5"/>
      <c r="C395" s="5"/>
      <c r="D395" s="5"/>
      <c r="E395" s="93"/>
      <c r="F395" s="94"/>
      <c r="G395" s="94"/>
      <c r="H395" s="94"/>
      <c r="I395" s="94"/>
      <c r="J395" s="94"/>
      <c r="K395" s="94"/>
      <c r="L395" s="94"/>
      <c r="M395" s="95"/>
      <c r="N395" s="95"/>
      <c r="O395" s="2"/>
      <c r="P395" s="2"/>
      <c r="Q395" s="96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5"/>
      <c r="B396" s="5"/>
      <c r="C396" s="5"/>
      <c r="D396" s="5"/>
      <c r="E396" s="93"/>
      <c r="F396" s="94"/>
      <c r="G396" s="94"/>
      <c r="H396" s="94"/>
      <c r="I396" s="94"/>
      <c r="J396" s="94"/>
      <c r="K396" s="94"/>
      <c r="L396" s="94"/>
      <c r="M396" s="95"/>
      <c r="N396" s="95"/>
      <c r="O396" s="2"/>
      <c r="P396" s="2"/>
      <c r="Q396" s="96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5"/>
      <c r="B397" s="5"/>
      <c r="C397" s="5"/>
      <c r="D397" s="5"/>
      <c r="E397" s="93"/>
      <c r="F397" s="94"/>
      <c r="G397" s="94"/>
      <c r="H397" s="94"/>
      <c r="I397" s="94"/>
      <c r="J397" s="94"/>
      <c r="K397" s="94"/>
      <c r="L397" s="94"/>
      <c r="M397" s="95"/>
      <c r="N397" s="95"/>
      <c r="O397" s="2"/>
      <c r="P397" s="2"/>
      <c r="Q397" s="96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5"/>
      <c r="B398" s="5"/>
      <c r="C398" s="5"/>
      <c r="D398" s="5"/>
      <c r="E398" s="93"/>
      <c r="F398" s="94"/>
      <c r="G398" s="94"/>
      <c r="H398" s="94"/>
      <c r="I398" s="94"/>
      <c r="J398" s="94"/>
      <c r="K398" s="94"/>
      <c r="L398" s="94"/>
      <c r="M398" s="95"/>
      <c r="N398" s="95"/>
      <c r="O398" s="2"/>
      <c r="P398" s="2"/>
      <c r="Q398" s="96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5"/>
      <c r="B399" s="5"/>
      <c r="C399" s="5"/>
      <c r="D399" s="5"/>
      <c r="E399" s="93"/>
      <c r="F399" s="94"/>
      <c r="G399" s="94"/>
      <c r="H399" s="94"/>
      <c r="I399" s="94"/>
      <c r="J399" s="94"/>
      <c r="K399" s="94"/>
      <c r="L399" s="94"/>
      <c r="M399" s="95"/>
      <c r="N399" s="95"/>
      <c r="O399" s="2"/>
      <c r="P399" s="2"/>
      <c r="Q399" s="96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5"/>
      <c r="B400" s="5"/>
      <c r="C400" s="5"/>
      <c r="D400" s="5"/>
      <c r="E400" s="93"/>
      <c r="F400" s="94"/>
      <c r="G400" s="94"/>
      <c r="H400" s="94"/>
      <c r="I400" s="94"/>
      <c r="J400" s="94"/>
      <c r="K400" s="94"/>
      <c r="L400" s="94"/>
      <c r="M400" s="95"/>
      <c r="N400" s="95"/>
      <c r="O400" s="2"/>
      <c r="P400" s="2"/>
      <c r="Q400" s="96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5"/>
      <c r="B401" s="5"/>
      <c r="C401" s="5"/>
      <c r="D401" s="5"/>
      <c r="E401" s="93"/>
      <c r="F401" s="94"/>
      <c r="G401" s="94"/>
      <c r="H401" s="94"/>
      <c r="I401" s="94"/>
      <c r="J401" s="94"/>
      <c r="K401" s="94"/>
      <c r="L401" s="94"/>
      <c r="M401" s="95"/>
      <c r="N401" s="95"/>
      <c r="O401" s="2"/>
      <c r="P401" s="2"/>
      <c r="Q401" s="96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5"/>
      <c r="B402" s="5"/>
      <c r="C402" s="5"/>
      <c r="D402" s="5"/>
      <c r="E402" s="93"/>
      <c r="F402" s="94"/>
      <c r="G402" s="94"/>
      <c r="H402" s="94"/>
      <c r="I402" s="94"/>
      <c r="J402" s="94"/>
      <c r="K402" s="94"/>
      <c r="L402" s="94"/>
      <c r="M402" s="95"/>
      <c r="N402" s="95"/>
      <c r="O402" s="2"/>
      <c r="P402" s="2"/>
      <c r="Q402" s="96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5"/>
      <c r="B403" s="5"/>
      <c r="C403" s="5"/>
      <c r="D403" s="5"/>
      <c r="E403" s="93"/>
      <c r="F403" s="94"/>
      <c r="G403" s="94"/>
      <c r="H403" s="94"/>
      <c r="I403" s="94"/>
      <c r="J403" s="94"/>
      <c r="K403" s="94"/>
      <c r="L403" s="94"/>
      <c r="M403" s="95"/>
      <c r="N403" s="95"/>
      <c r="O403" s="2"/>
      <c r="P403" s="2"/>
      <c r="Q403" s="96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5"/>
      <c r="B404" s="5"/>
      <c r="C404" s="5"/>
      <c r="D404" s="5"/>
      <c r="E404" s="93"/>
      <c r="F404" s="94"/>
      <c r="G404" s="94"/>
      <c r="H404" s="94"/>
      <c r="I404" s="94"/>
      <c r="J404" s="94"/>
      <c r="K404" s="94"/>
      <c r="L404" s="94"/>
      <c r="M404" s="95"/>
      <c r="N404" s="95"/>
      <c r="O404" s="2"/>
      <c r="P404" s="2"/>
      <c r="Q404" s="96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5"/>
      <c r="B405" s="5"/>
      <c r="C405" s="5"/>
      <c r="D405" s="5"/>
      <c r="E405" s="93"/>
      <c r="F405" s="94"/>
      <c r="G405" s="94"/>
      <c r="H405" s="94"/>
      <c r="I405" s="94"/>
      <c r="J405" s="94"/>
      <c r="K405" s="94"/>
      <c r="L405" s="94"/>
      <c r="M405" s="95"/>
      <c r="N405" s="95"/>
      <c r="O405" s="2"/>
      <c r="P405" s="2"/>
      <c r="Q405" s="96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5"/>
      <c r="B406" s="5"/>
      <c r="C406" s="5"/>
      <c r="D406" s="5"/>
      <c r="E406" s="93"/>
      <c r="F406" s="94"/>
      <c r="G406" s="94"/>
      <c r="H406" s="94"/>
      <c r="I406" s="94"/>
      <c r="J406" s="94"/>
      <c r="K406" s="94"/>
      <c r="L406" s="94"/>
      <c r="M406" s="95"/>
      <c r="N406" s="95"/>
      <c r="O406" s="2"/>
      <c r="P406" s="2"/>
      <c r="Q406" s="96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5"/>
      <c r="B407" s="5"/>
      <c r="C407" s="5"/>
      <c r="D407" s="5"/>
      <c r="E407" s="93"/>
      <c r="F407" s="94"/>
      <c r="G407" s="94"/>
      <c r="H407" s="94"/>
      <c r="I407" s="94"/>
      <c r="J407" s="94"/>
      <c r="K407" s="94"/>
      <c r="L407" s="94"/>
      <c r="M407" s="95"/>
      <c r="N407" s="95"/>
      <c r="O407" s="2"/>
      <c r="P407" s="2"/>
      <c r="Q407" s="96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5"/>
      <c r="B408" s="5"/>
      <c r="C408" s="5"/>
      <c r="D408" s="5"/>
      <c r="E408" s="93"/>
      <c r="F408" s="94"/>
      <c r="G408" s="94"/>
      <c r="H408" s="94"/>
      <c r="I408" s="94"/>
      <c r="J408" s="94"/>
      <c r="K408" s="94"/>
      <c r="L408" s="94"/>
      <c r="M408" s="95"/>
      <c r="N408" s="95"/>
      <c r="O408" s="2"/>
      <c r="P408" s="2"/>
      <c r="Q408" s="96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5"/>
      <c r="B409" s="5"/>
      <c r="C409" s="5"/>
      <c r="D409" s="5"/>
      <c r="E409" s="93"/>
      <c r="F409" s="94"/>
      <c r="G409" s="94"/>
      <c r="H409" s="94"/>
      <c r="I409" s="94"/>
      <c r="J409" s="94"/>
      <c r="K409" s="94"/>
      <c r="L409" s="94"/>
      <c r="M409" s="95"/>
      <c r="N409" s="95"/>
      <c r="O409" s="2"/>
      <c r="P409" s="2"/>
      <c r="Q409" s="96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5"/>
      <c r="B410" s="5"/>
      <c r="C410" s="5"/>
      <c r="D410" s="5"/>
      <c r="E410" s="93"/>
      <c r="F410" s="94"/>
      <c r="G410" s="94"/>
      <c r="H410" s="94"/>
      <c r="I410" s="94"/>
      <c r="J410" s="94"/>
      <c r="K410" s="94"/>
      <c r="L410" s="94"/>
      <c r="M410" s="95"/>
      <c r="N410" s="95"/>
      <c r="O410" s="2"/>
      <c r="P410" s="2"/>
      <c r="Q410" s="96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5"/>
      <c r="B411" s="5"/>
      <c r="C411" s="5"/>
      <c r="D411" s="5"/>
      <c r="E411" s="93"/>
      <c r="F411" s="94"/>
      <c r="G411" s="94"/>
      <c r="H411" s="94"/>
      <c r="I411" s="94"/>
      <c r="J411" s="94"/>
      <c r="K411" s="94"/>
      <c r="L411" s="94"/>
      <c r="M411" s="95"/>
      <c r="N411" s="95"/>
      <c r="O411" s="2"/>
      <c r="P411" s="2"/>
      <c r="Q411" s="96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5"/>
      <c r="B412" s="5"/>
      <c r="C412" s="5"/>
      <c r="D412" s="5"/>
      <c r="E412" s="93"/>
      <c r="F412" s="94"/>
      <c r="G412" s="94"/>
      <c r="H412" s="94"/>
      <c r="I412" s="94"/>
      <c r="J412" s="94"/>
      <c r="K412" s="94"/>
      <c r="L412" s="94"/>
      <c r="M412" s="95"/>
      <c r="N412" s="95"/>
      <c r="O412" s="2"/>
      <c r="P412" s="2"/>
      <c r="Q412" s="96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5"/>
      <c r="B413" s="5"/>
      <c r="C413" s="5"/>
      <c r="D413" s="5"/>
      <c r="E413" s="93"/>
      <c r="F413" s="94"/>
      <c r="G413" s="94"/>
      <c r="H413" s="94"/>
      <c r="I413" s="94"/>
      <c r="J413" s="94"/>
      <c r="K413" s="94"/>
      <c r="L413" s="94"/>
      <c r="M413" s="95"/>
      <c r="N413" s="95"/>
      <c r="O413" s="2"/>
      <c r="P413" s="2"/>
      <c r="Q413" s="96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5"/>
      <c r="B414" s="5"/>
      <c r="C414" s="5"/>
      <c r="D414" s="5"/>
      <c r="E414" s="93"/>
      <c r="F414" s="94"/>
      <c r="G414" s="94"/>
      <c r="H414" s="94"/>
      <c r="I414" s="94"/>
      <c r="J414" s="94"/>
      <c r="K414" s="94"/>
      <c r="L414" s="94"/>
      <c r="M414" s="95"/>
      <c r="N414" s="95"/>
      <c r="O414" s="2"/>
      <c r="P414" s="2"/>
      <c r="Q414" s="96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5"/>
      <c r="B415" s="5"/>
      <c r="C415" s="5"/>
      <c r="D415" s="5"/>
      <c r="E415" s="93"/>
      <c r="F415" s="94"/>
      <c r="G415" s="94"/>
      <c r="H415" s="94"/>
      <c r="I415" s="94"/>
      <c r="J415" s="94"/>
      <c r="K415" s="94"/>
      <c r="L415" s="94"/>
      <c r="M415" s="95"/>
      <c r="N415" s="95"/>
      <c r="O415" s="2"/>
      <c r="P415" s="2"/>
      <c r="Q415" s="96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5"/>
      <c r="B416" s="5"/>
      <c r="C416" s="5"/>
      <c r="D416" s="5"/>
      <c r="E416" s="93"/>
      <c r="F416" s="94"/>
      <c r="G416" s="94"/>
      <c r="H416" s="94"/>
      <c r="I416" s="94"/>
      <c r="J416" s="94"/>
      <c r="K416" s="94"/>
      <c r="L416" s="94"/>
      <c r="M416" s="95"/>
      <c r="N416" s="95"/>
      <c r="O416" s="2"/>
      <c r="P416" s="2"/>
      <c r="Q416" s="96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5"/>
      <c r="B417" s="5"/>
      <c r="C417" s="5"/>
      <c r="D417" s="5"/>
      <c r="E417" s="93"/>
      <c r="F417" s="94"/>
      <c r="G417" s="94"/>
      <c r="H417" s="94"/>
      <c r="I417" s="94"/>
      <c r="J417" s="94"/>
      <c r="K417" s="94"/>
      <c r="L417" s="94"/>
      <c r="M417" s="95"/>
      <c r="N417" s="95"/>
      <c r="O417" s="2"/>
      <c r="P417" s="2"/>
      <c r="Q417" s="96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5"/>
      <c r="B418" s="5"/>
      <c r="C418" s="5"/>
      <c r="D418" s="5"/>
      <c r="E418" s="93"/>
      <c r="F418" s="94"/>
      <c r="G418" s="94"/>
      <c r="H418" s="94"/>
      <c r="I418" s="94"/>
      <c r="J418" s="94"/>
      <c r="K418" s="94"/>
      <c r="L418" s="94"/>
      <c r="M418" s="95"/>
      <c r="N418" s="95"/>
      <c r="O418" s="2"/>
      <c r="P418" s="2"/>
      <c r="Q418" s="96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5"/>
      <c r="B419" s="5"/>
      <c r="C419" s="5"/>
      <c r="D419" s="5"/>
      <c r="E419" s="93"/>
      <c r="F419" s="94"/>
      <c r="G419" s="94"/>
      <c r="H419" s="94"/>
      <c r="I419" s="94"/>
      <c r="J419" s="94"/>
      <c r="K419" s="94"/>
      <c r="L419" s="94"/>
      <c r="M419" s="95"/>
      <c r="N419" s="95"/>
      <c r="O419" s="2"/>
      <c r="P419" s="2"/>
      <c r="Q419" s="96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5"/>
      <c r="B420" s="5"/>
      <c r="C420" s="5"/>
      <c r="D420" s="5"/>
      <c r="E420" s="93"/>
      <c r="F420" s="94"/>
      <c r="G420" s="94"/>
      <c r="H420" s="94"/>
      <c r="I420" s="94"/>
      <c r="J420" s="94"/>
      <c r="K420" s="94"/>
      <c r="L420" s="94"/>
      <c r="M420" s="95"/>
      <c r="N420" s="95"/>
      <c r="O420" s="2"/>
      <c r="P420" s="2"/>
      <c r="Q420" s="96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5"/>
      <c r="B421" s="5"/>
      <c r="C421" s="5"/>
      <c r="D421" s="5"/>
      <c r="E421" s="93"/>
      <c r="F421" s="94"/>
      <c r="G421" s="94"/>
      <c r="H421" s="94"/>
      <c r="I421" s="94"/>
      <c r="J421" s="94"/>
      <c r="K421" s="94"/>
      <c r="L421" s="94"/>
      <c r="M421" s="95"/>
      <c r="N421" s="95"/>
      <c r="O421" s="2"/>
      <c r="P421" s="2"/>
      <c r="Q421" s="96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5"/>
      <c r="B422" s="5"/>
      <c r="C422" s="5"/>
      <c r="D422" s="5"/>
      <c r="E422" s="93"/>
      <c r="F422" s="94"/>
      <c r="G422" s="94"/>
      <c r="H422" s="94"/>
      <c r="I422" s="94"/>
      <c r="J422" s="94"/>
      <c r="K422" s="94"/>
      <c r="L422" s="94"/>
      <c r="M422" s="95"/>
      <c r="N422" s="95"/>
      <c r="O422" s="2"/>
      <c r="P422" s="2"/>
      <c r="Q422" s="96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5"/>
      <c r="B423" s="5"/>
      <c r="C423" s="5"/>
      <c r="D423" s="5"/>
      <c r="E423" s="93"/>
      <c r="F423" s="94"/>
      <c r="G423" s="94"/>
      <c r="H423" s="94"/>
      <c r="I423" s="94"/>
      <c r="J423" s="94"/>
      <c r="K423" s="94"/>
      <c r="L423" s="94"/>
      <c r="M423" s="95"/>
      <c r="N423" s="95"/>
      <c r="O423" s="2"/>
      <c r="P423" s="2"/>
      <c r="Q423" s="96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5"/>
      <c r="B424" s="5"/>
      <c r="C424" s="5"/>
      <c r="D424" s="5"/>
      <c r="E424" s="93"/>
      <c r="F424" s="94"/>
      <c r="G424" s="94"/>
      <c r="H424" s="94"/>
      <c r="I424" s="94"/>
      <c r="J424" s="94"/>
      <c r="K424" s="94"/>
      <c r="L424" s="94"/>
      <c r="M424" s="95"/>
      <c r="N424" s="95"/>
      <c r="O424" s="2"/>
      <c r="P424" s="2"/>
      <c r="Q424" s="96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5"/>
      <c r="B425" s="5"/>
      <c r="C425" s="5"/>
      <c r="D425" s="5"/>
      <c r="E425" s="93"/>
      <c r="F425" s="94"/>
      <c r="G425" s="94"/>
      <c r="H425" s="94"/>
      <c r="I425" s="94"/>
      <c r="J425" s="94"/>
      <c r="K425" s="94"/>
      <c r="L425" s="94"/>
      <c r="M425" s="95"/>
      <c r="N425" s="95"/>
      <c r="O425" s="2"/>
      <c r="P425" s="2"/>
      <c r="Q425" s="96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5"/>
      <c r="B426" s="5"/>
      <c r="C426" s="5"/>
      <c r="D426" s="5"/>
      <c r="E426" s="93"/>
      <c r="F426" s="94"/>
      <c r="G426" s="94"/>
      <c r="H426" s="94"/>
      <c r="I426" s="94"/>
      <c r="J426" s="94"/>
      <c r="K426" s="94"/>
      <c r="L426" s="94"/>
      <c r="M426" s="95"/>
      <c r="N426" s="95"/>
      <c r="O426" s="2"/>
      <c r="P426" s="2"/>
      <c r="Q426" s="96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5"/>
      <c r="B427" s="5"/>
      <c r="C427" s="5"/>
      <c r="D427" s="5"/>
      <c r="E427" s="93"/>
      <c r="F427" s="94"/>
      <c r="G427" s="94"/>
      <c r="H427" s="94"/>
      <c r="I427" s="94"/>
      <c r="J427" s="94"/>
      <c r="K427" s="94"/>
      <c r="L427" s="94"/>
      <c r="M427" s="95"/>
      <c r="N427" s="95"/>
      <c r="O427" s="2"/>
      <c r="P427" s="2"/>
      <c r="Q427" s="96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5"/>
      <c r="B428" s="5"/>
      <c r="C428" s="5"/>
      <c r="D428" s="5"/>
      <c r="E428" s="93"/>
      <c r="F428" s="94"/>
      <c r="G428" s="94"/>
      <c r="H428" s="94"/>
      <c r="I428" s="94"/>
      <c r="J428" s="94"/>
      <c r="K428" s="94"/>
      <c r="L428" s="94"/>
      <c r="M428" s="95"/>
      <c r="N428" s="95"/>
      <c r="O428" s="2"/>
      <c r="P428" s="2"/>
      <c r="Q428" s="96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5"/>
      <c r="B429" s="5"/>
      <c r="C429" s="5"/>
      <c r="D429" s="5"/>
      <c r="E429" s="93"/>
      <c r="F429" s="94"/>
      <c r="G429" s="94"/>
      <c r="H429" s="94"/>
      <c r="I429" s="94"/>
      <c r="J429" s="94"/>
      <c r="K429" s="94"/>
      <c r="L429" s="94"/>
      <c r="M429" s="95"/>
      <c r="N429" s="95"/>
      <c r="O429" s="2"/>
      <c r="P429" s="2"/>
      <c r="Q429" s="96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5"/>
      <c r="B430" s="5"/>
      <c r="C430" s="5"/>
      <c r="D430" s="5"/>
      <c r="E430" s="93"/>
      <c r="F430" s="94"/>
      <c r="G430" s="94"/>
      <c r="H430" s="94"/>
      <c r="I430" s="94"/>
      <c r="J430" s="94"/>
      <c r="K430" s="94"/>
      <c r="L430" s="94"/>
      <c r="M430" s="95"/>
      <c r="N430" s="95"/>
      <c r="O430" s="2"/>
      <c r="P430" s="2"/>
      <c r="Q430" s="96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5"/>
      <c r="B431" s="5"/>
      <c r="C431" s="5"/>
      <c r="D431" s="5"/>
      <c r="E431" s="93"/>
      <c r="F431" s="94"/>
      <c r="G431" s="94"/>
      <c r="H431" s="94"/>
      <c r="I431" s="94"/>
      <c r="J431" s="94"/>
      <c r="K431" s="94"/>
      <c r="L431" s="94"/>
      <c r="M431" s="95"/>
      <c r="N431" s="95"/>
      <c r="O431" s="2"/>
      <c r="P431" s="2"/>
      <c r="Q431" s="96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5"/>
      <c r="B432" s="5"/>
      <c r="C432" s="5"/>
      <c r="D432" s="5"/>
      <c r="E432" s="93"/>
      <c r="F432" s="94"/>
      <c r="G432" s="94"/>
      <c r="H432" s="94"/>
      <c r="I432" s="94"/>
      <c r="J432" s="94"/>
      <c r="K432" s="94"/>
      <c r="L432" s="94"/>
      <c r="M432" s="95"/>
      <c r="N432" s="95"/>
      <c r="O432" s="2"/>
      <c r="P432" s="2"/>
      <c r="Q432" s="96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5"/>
      <c r="B433" s="5"/>
      <c r="C433" s="5"/>
      <c r="D433" s="5"/>
      <c r="E433" s="93"/>
      <c r="F433" s="94"/>
      <c r="G433" s="94"/>
      <c r="H433" s="94"/>
      <c r="I433" s="94"/>
      <c r="J433" s="94"/>
      <c r="K433" s="94"/>
      <c r="L433" s="94"/>
      <c r="M433" s="95"/>
      <c r="N433" s="95"/>
      <c r="O433" s="2"/>
      <c r="P433" s="2"/>
      <c r="Q433" s="96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5"/>
      <c r="B434" s="5"/>
      <c r="C434" s="5"/>
      <c r="D434" s="5"/>
      <c r="E434" s="93"/>
      <c r="F434" s="94"/>
      <c r="G434" s="94"/>
      <c r="H434" s="94"/>
      <c r="I434" s="94"/>
      <c r="J434" s="94"/>
      <c r="K434" s="94"/>
      <c r="L434" s="94"/>
      <c r="M434" s="95"/>
      <c r="N434" s="95"/>
      <c r="O434" s="2"/>
      <c r="P434" s="2"/>
      <c r="Q434" s="96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5"/>
      <c r="B435" s="5"/>
      <c r="C435" s="5"/>
      <c r="D435" s="5"/>
      <c r="E435" s="93"/>
      <c r="F435" s="94"/>
      <c r="G435" s="94"/>
      <c r="H435" s="94"/>
      <c r="I435" s="94"/>
      <c r="J435" s="94"/>
      <c r="K435" s="94"/>
      <c r="L435" s="94"/>
      <c r="M435" s="95"/>
      <c r="N435" s="95"/>
      <c r="O435" s="2"/>
      <c r="P435" s="2"/>
      <c r="Q435" s="96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5"/>
      <c r="B436" s="5"/>
      <c r="C436" s="5"/>
      <c r="D436" s="5"/>
      <c r="E436" s="93"/>
      <c r="F436" s="94"/>
      <c r="G436" s="94"/>
      <c r="H436" s="94"/>
      <c r="I436" s="94"/>
      <c r="J436" s="94"/>
      <c r="K436" s="94"/>
      <c r="L436" s="94"/>
      <c r="M436" s="95"/>
      <c r="N436" s="95"/>
      <c r="O436" s="2"/>
      <c r="P436" s="2"/>
      <c r="Q436" s="96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5"/>
      <c r="B437" s="5"/>
      <c r="C437" s="5"/>
      <c r="D437" s="5"/>
      <c r="E437" s="93"/>
      <c r="F437" s="94"/>
      <c r="G437" s="94"/>
      <c r="H437" s="94"/>
      <c r="I437" s="94"/>
      <c r="J437" s="94"/>
      <c r="K437" s="94"/>
      <c r="L437" s="94"/>
      <c r="M437" s="95"/>
      <c r="N437" s="95"/>
      <c r="O437" s="2"/>
      <c r="P437" s="2"/>
      <c r="Q437" s="96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5"/>
      <c r="B438" s="5"/>
      <c r="C438" s="5"/>
      <c r="D438" s="5"/>
      <c r="E438" s="93"/>
      <c r="F438" s="94"/>
      <c r="G438" s="94"/>
      <c r="H438" s="94"/>
      <c r="I438" s="94"/>
      <c r="J438" s="94"/>
      <c r="K438" s="94"/>
      <c r="L438" s="94"/>
      <c r="M438" s="95"/>
      <c r="N438" s="95"/>
      <c r="O438" s="2"/>
      <c r="P438" s="2"/>
      <c r="Q438" s="96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5"/>
      <c r="B439" s="5"/>
      <c r="C439" s="5"/>
      <c r="D439" s="5"/>
      <c r="E439" s="93"/>
      <c r="F439" s="94"/>
      <c r="G439" s="94"/>
      <c r="H439" s="94"/>
      <c r="I439" s="94"/>
      <c r="J439" s="94"/>
      <c r="K439" s="94"/>
      <c r="L439" s="94"/>
      <c r="M439" s="95"/>
      <c r="N439" s="95"/>
      <c r="O439" s="2"/>
      <c r="P439" s="2"/>
      <c r="Q439" s="96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5"/>
      <c r="B440" s="5"/>
      <c r="C440" s="5"/>
      <c r="D440" s="5"/>
      <c r="E440" s="93"/>
      <c r="F440" s="94"/>
      <c r="G440" s="94"/>
      <c r="H440" s="94"/>
      <c r="I440" s="94"/>
      <c r="J440" s="94"/>
      <c r="K440" s="94"/>
      <c r="L440" s="94"/>
      <c r="M440" s="95"/>
      <c r="N440" s="95"/>
      <c r="O440" s="2"/>
      <c r="P440" s="2"/>
      <c r="Q440" s="96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5"/>
      <c r="B441" s="5"/>
      <c r="C441" s="5"/>
      <c r="D441" s="5"/>
      <c r="E441" s="93"/>
      <c r="F441" s="94"/>
      <c r="G441" s="94"/>
      <c r="H441" s="94"/>
      <c r="I441" s="94"/>
      <c r="J441" s="94"/>
      <c r="K441" s="94"/>
      <c r="L441" s="94"/>
      <c r="M441" s="95"/>
      <c r="N441" s="95"/>
      <c r="O441" s="2"/>
      <c r="P441" s="2"/>
      <c r="Q441" s="96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5"/>
      <c r="B442" s="5"/>
      <c r="C442" s="5"/>
      <c r="D442" s="5"/>
      <c r="E442" s="93"/>
      <c r="F442" s="94"/>
      <c r="G442" s="94"/>
      <c r="H442" s="94"/>
      <c r="I442" s="94"/>
      <c r="J442" s="94"/>
      <c r="K442" s="94"/>
      <c r="L442" s="94"/>
      <c r="M442" s="95"/>
      <c r="N442" s="95"/>
      <c r="O442" s="2"/>
      <c r="P442" s="2"/>
      <c r="Q442" s="96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5"/>
      <c r="B443" s="5"/>
      <c r="C443" s="5"/>
      <c r="D443" s="5"/>
      <c r="E443" s="93"/>
      <c r="F443" s="94"/>
      <c r="G443" s="94"/>
      <c r="H443" s="94"/>
      <c r="I443" s="94"/>
      <c r="J443" s="94"/>
      <c r="K443" s="94"/>
      <c r="L443" s="94"/>
      <c r="M443" s="95"/>
      <c r="N443" s="95"/>
      <c r="O443" s="2"/>
      <c r="P443" s="2"/>
      <c r="Q443" s="96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5"/>
      <c r="B444" s="5"/>
      <c r="C444" s="5"/>
      <c r="D444" s="5"/>
      <c r="E444" s="93"/>
      <c r="F444" s="94"/>
      <c r="G444" s="94"/>
      <c r="H444" s="94"/>
      <c r="I444" s="94"/>
      <c r="J444" s="94"/>
      <c r="K444" s="94"/>
      <c r="L444" s="94"/>
      <c r="M444" s="95"/>
      <c r="N444" s="95"/>
      <c r="O444" s="2"/>
      <c r="P444" s="2"/>
      <c r="Q444" s="96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5"/>
      <c r="B445" s="5"/>
      <c r="C445" s="5"/>
      <c r="D445" s="5"/>
      <c r="E445" s="93"/>
      <c r="F445" s="94"/>
      <c r="G445" s="94"/>
      <c r="H445" s="94"/>
      <c r="I445" s="94"/>
      <c r="J445" s="94"/>
      <c r="K445" s="94"/>
      <c r="L445" s="94"/>
      <c r="M445" s="95"/>
      <c r="N445" s="95"/>
      <c r="O445" s="2"/>
      <c r="P445" s="2"/>
      <c r="Q445" s="96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5"/>
      <c r="B446" s="5"/>
      <c r="C446" s="5"/>
      <c r="D446" s="5"/>
      <c r="E446" s="93"/>
      <c r="F446" s="94"/>
      <c r="G446" s="94"/>
      <c r="H446" s="94"/>
      <c r="I446" s="94"/>
      <c r="J446" s="94"/>
      <c r="K446" s="94"/>
      <c r="L446" s="94"/>
      <c r="M446" s="95"/>
      <c r="N446" s="95"/>
      <c r="O446" s="2"/>
      <c r="P446" s="2"/>
      <c r="Q446" s="96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5"/>
      <c r="B447" s="5"/>
      <c r="C447" s="5"/>
      <c r="D447" s="5"/>
      <c r="E447" s="93"/>
      <c r="F447" s="94"/>
      <c r="G447" s="94"/>
      <c r="H447" s="94"/>
      <c r="I447" s="94"/>
      <c r="J447" s="94"/>
      <c r="K447" s="94"/>
      <c r="L447" s="94"/>
      <c r="M447" s="95"/>
      <c r="N447" s="95"/>
      <c r="O447" s="2"/>
      <c r="P447" s="2"/>
      <c r="Q447" s="96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5"/>
      <c r="B448" s="5"/>
      <c r="C448" s="5"/>
      <c r="D448" s="5"/>
      <c r="E448" s="93"/>
      <c r="F448" s="94"/>
      <c r="G448" s="94"/>
      <c r="H448" s="94"/>
      <c r="I448" s="94"/>
      <c r="J448" s="94"/>
      <c r="K448" s="94"/>
      <c r="L448" s="94"/>
      <c r="M448" s="95"/>
      <c r="N448" s="95"/>
      <c r="O448" s="2"/>
      <c r="P448" s="2"/>
      <c r="Q448" s="96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5"/>
      <c r="B449" s="5"/>
      <c r="C449" s="5"/>
      <c r="D449" s="5"/>
      <c r="E449" s="93"/>
      <c r="F449" s="94"/>
      <c r="G449" s="94"/>
      <c r="H449" s="94"/>
      <c r="I449" s="94"/>
      <c r="J449" s="94"/>
      <c r="K449" s="94"/>
      <c r="L449" s="94"/>
      <c r="M449" s="95"/>
      <c r="N449" s="95"/>
      <c r="O449" s="2"/>
      <c r="P449" s="2"/>
      <c r="Q449" s="96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718">
    <mergeCell ref="L186:M186"/>
    <mergeCell ref="N186:O186"/>
    <mergeCell ref="I184:K184"/>
    <mergeCell ref="L184:M184"/>
    <mergeCell ref="N184:O184"/>
    <mergeCell ref="I185:K185"/>
    <mergeCell ref="L185:M185"/>
    <mergeCell ref="N185:O185"/>
    <mergeCell ref="I186:K186"/>
    <mergeCell ref="L189:M189"/>
    <mergeCell ref="N189:O189"/>
    <mergeCell ref="I187:K187"/>
    <mergeCell ref="L187:M187"/>
    <mergeCell ref="N187:O187"/>
    <mergeCell ref="I188:K188"/>
    <mergeCell ref="L188:M188"/>
    <mergeCell ref="N188:O188"/>
    <mergeCell ref="I189:K189"/>
    <mergeCell ref="L192:M192"/>
    <mergeCell ref="N192:O192"/>
    <mergeCell ref="I190:K190"/>
    <mergeCell ref="L190:M190"/>
    <mergeCell ref="N190:O190"/>
    <mergeCell ref="I191:K191"/>
    <mergeCell ref="L191:M191"/>
    <mergeCell ref="N191:O191"/>
    <mergeCell ref="I192:K192"/>
    <mergeCell ref="L195:M195"/>
    <mergeCell ref="N195:O195"/>
    <mergeCell ref="I193:K193"/>
    <mergeCell ref="L193:M193"/>
    <mergeCell ref="N193:O193"/>
    <mergeCell ref="I194:K194"/>
    <mergeCell ref="L194:M194"/>
    <mergeCell ref="N194:O194"/>
    <mergeCell ref="I195:K195"/>
    <mergeCell ref="L198:M198"/>
    <mergeCell ref="N198:O198"/>
    <mergeCell ref="I196:K196"/>
    <mergeCell ref="L196:M196"/>
    <mergeCell ref="N196:O196"/>
    <mergeCell ref="I197:K197"/>
    <mergeCell ref="L197:M197"/>
    <mergeCell ref="N197:O197"/>
    <mergeCell ref="I198:K198"/>
    <mergeCell ref="L201:M201"/>
    <mergeCell ref="N201:O201"/>
    <mergeCell ref="I199:K199"/>
    <mergeCell ref="L199:M199"/>
    <mergeCell ref="N199:O199"/>
    <mergeCell ref="I200:K200"/>
    <mergeCell ref="L200:M200"/>
    <mergeCell ref="N200:O200"/>
    <mergeCell ref="I201:K201"/>
    <mergeCell ref="L204:M204"/>
    <mergeCell ref="N204:O204"/>
    <mergeCell ref="I202:K202"/>
    <mergeCell ref="L202:M202"/>
    <mergeCell ref="N202:O202"/>
    <mergeCell ref="I203:K203"/>
    <mergeCell ref="L203:M203"/>
    <mergeCell ref="N203:O203"/>
    <mergeCell ref="I204:K204"/>
    <mergeCell ref="L228:M228"/>
    <mergeCell ref="N228:O228"/>
    <mergeCell ref="I226:K226"/>
    <mergeCell ref="L226:M226"/>
    <mergeCell ref="N226:O226"/>
    <mergeCell ref="I227:K227"/>
    <mergeCell ref="L227:M227"/>
    <mergeCell ref="N227:O227"/>
    <mergeCell ref="I228:K228"/>
    <mergeCell ref="L231:M231"/>
    <mergeCell ref="N231:O231"/>
    <mergeCell ref="I229:K229"/>
    <mergeCell ref="L229:M229"/>
    <mergeCell ref="N229:O229"/>
    <mergeCell ref="I230:K230"/>
    <mergeCell ref="L230:M230"/>
    <mergeCell ref="N230:O230"/>
    <mergeCell ref="I231:K231"/>
    <mergeCell ref="L234:M234"/>
    <mergeCell ref="N234:O234"/>
    <mergeCell ref="I232:K232"/>
    <mergeCell ref="L232:M232"/>
    <mergeCell ref="N232:O232"/>
    <mergeCell ref="I233:K233"/>
    <mergeCell ref="L233:M233"/>
    <mergeCell ref="N233:O233"/>
    <mergeCell ref="I234:K234"/>
    <mergeCell ref="L237:M237"/>
    <mergeCell ref="N237:O237"/>
    <mergeCell ref="I235:K235"/>
    <mergeCell ref="L235:M235"/>
    <mergeCell ref="N235:O235"/>
    <mergeCell ref="I236:K236"/>
    <mergeCell ref="L236:M236"/>
    <mergeCell ref="N236:O236"/>
    <mergeCell ref="I237:K237"/>
    <mergeCell ref="L240:M240"/>
    <mergeCell ref="N240:O240"/>
    <mergeCell ref="I238:K238"/>
    <mergeCell ref="L238:M238"/>
    <mergeCell ref="N238:O238"/>
    <mergeCell ref="I239:K239"/>
    <mergeCell ref="L239:M239"/>
    <mergeCell ref="N239:O239"/>
    <mergeCell ref="I240:K240"/>
    <mergeCell ref="L243:M243"/>
    <mergeCell ref="N243:O243"/>
    <mergeCell ref="I241:K241"/>
    <mergeCell ref="L241:M241"/>
    <mergeCell ref="N241:O241"/>
    <mergeCell ref="I242:K242"/>
    <mergeCell ref="L242:M242"/>
    <mergeCell ref="N242:O242"/>
    <mergeCell ref="I243:K243"/>
    <mergeCell ref="L246:M246"/>
    <mergeCell ref="N246:O246"/>
    <mergeCell ref="I244:K244"/>
    <mergeCell ref="L244:M244"/>
    <mergeCell ref="N244:O244"/>
    <mergeCell ref="I245:K245"/>
    <mergeCell ref="L245:M245"/>
    <mergeCell ref="N245:O245"/>
    <mergeCell ref="I246:K246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I247:K247"/>
    <mergeCell ref="L247:M247"/>
    <mergeCell ref="N247:O247"/>
    <mergeCell ref="I248:K248"/>
    <mergeCell ref="L248:M248"/>
    <mergeCell ref="N248:O248"/>
    <mergeCell ref="L207:M207"/>
    <mergeCell ref="N207:O207"/>
    <mergeCell ref="I205:K205"/>
    <mergeCell ref="L205:M205"/>
    <mergeCell ref="N205:O205"/>
    <mergeCell ref="I206:K206"/>
    <mergeCell ref="L206:M206"/>
    <mergeCell ref="N206:O206"/>
    <mergeCell ref="I207:K207"/>
    <mergeCell ref="L210:M210"/>
    <mergeCell ref="N210:O210"/>
    <mergeCell ref="I208:K208"/>
    <mergeCell ref="L208:M208"/>
    <mergeCell ref="N208:O208"/>
    <mergeCell ref="I209:K209"/>
    <mergeCell ref="L209:M209"/>
    <mergeCell ref="N209:O209"/>
    <mergeCell ref="I210:K210"/>
    <mergeCell ref="L213:M213"/>
    <mergeCell ref="N213:O213"/>
    <mergeCell ref="I211:K211"/>
    <mergeCell ref="L211:M211"/>
    <mergeCell ref="N211:O211"/>
    <mergeCell ref="I212:K212"/>
    <mergeCell ref="L212:M212"/>
    <mergeCell ref="N212:O212"/>
    <mergeCell ref="I213:K213"/>
    <mergeCell ref="L216:M216"/>
    <mergeCell ref="N216:O216"/>
    <mergeCell ref="I214:K214"/>
    <mergeCell ref="L214:M214"/>
    <mergeCell ref="N214:O214"/>
    <mergeCell ref="I215:K215"/>
    <mergeCell ref="L215:M215"/>
    <mergeCell ref="N215:O215"/>
    <mergeCell ref="I216:K216"/>
    <mergeCell ref="L219:M219"/>
    <mergeCell ref="N219:O219"/>
    <mergeCell ref="I217:K217"/>
    <mergeCell ref="L217:M217"/>
    <mergeCell ref="N217:O217"/>
    <mergeCell ref="I218:K218"/>
    <mergeCell ref="L218:M218"/>
    <mergeCell ref="N218:O218"/>
    <mergeCell ref="I219:K219"/>
    <mergeCell ref="L222:M222"/>
    <mergeCell ref="N222:O222"/>
    <mergeCell ref="I220:K220"/>
    <mergeCell ref="L220:M220"/>
    <mergeCell ref="N220:O220"/>
    <mergeCell ref="I221:K221"/>
    <mergeCell ref="L221:M221"/>
    <mergeCell ref="N221:O221"/>
    <mergeCell ref="I222:K222"/>
    <mergeCell ref="L225:M225"/>
    <mergeCell ref="N225:O225"/>
    <mergeCell ref="E249:K249"/>
    <mergeCell ref="L249:M249"/>
    <mergeCell ref="N249:O249"/>
    <mergeCell ref="I223:K223"/>
    <mergeCell ref="L223:M223"/>
    <mergeCell ref="N223:O223"/>
    <mergeCell ref="I224:K224"/>
    <mergeCell ref="L224:M224"/>
    <mergeCell ref="N224:O224"/>
    <mergeCell ref="I225:K225"/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I133:K133"/>
    <mergeCell ref="L133:M133"/>
    <mergeCell ref="N133:O133"/>
    <mergeCell ref="I134:K134"/>
    <mergeCell ref="L134:M134"/>
    <mergeCell ref="N134:O134"/>
    <mergeCell ref="I135:K135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41:M141"/>
    <mergeCell ref="N141:O141"/>
    <mergeCell ref="I139:K139"/>
    <mergeCell ref="L139:M139"/>
    <mergeCell ref="N139:O139"/>
    <mergeCell ref="I140:K140"/>
    <mergeCell ref="L140:M140"/>
    <mergeCell ref="N140:O140"/>
    <mergeCell ref="I141:K141"/>
    <mergeCell ref="L144:M144"/>
    <mergeCell ref="N144:O144"/>
    <mergeCell ref="I142:K142"/>
    <mergeCell ref="L142:M142"/>
    <mergeCell ref="N142:O142"/>
    <mergeCell ref="I143:K143"/>
    <mergeCell ref="L143:M143"/>
    <mergeCell ref="N143:O143"/>
    <mergeCell ref="I144:K144"/>
    <mergeCell ref="L147:M147"/>
    <mergeCell ref="N147:O147"/>
    <mergeCell ref="I145:K145"/>
    <mergeCell ref="L145:M145"/>
    <mergeCell ref="N145:O145"/>
    <mergeCell ref="I146:K146"/>
    <mergeCell ref="L146:M146"/>
    <mergeCell ref="N146:O146"/>
    <mergeCell ref="I147:K147"/>
    <mergeCell ref="L150:M150"/>
    <mergeCell ref="N150:O150"/>
    <mergeCell ref="I148:K148"/>
    <mergeCell ref="L148:M148"/>
    <mergeCell ref="N148:O148"/>
    <mergeCell ref="I149:K149"/>
    <mergeCell ref="L149:M149"/>
    <mergeCell ref="N149:O149"/>
    <mergeCell ref="I150:K150"/>
    <mergeCell ref="L153:M153"/>
    <mergeCell ref="N153:O153"/>
    <mergeCell ref="I151:K151"/>
    <mergeCell ref="L151:M151"/>
    <mergeCell ref="N151:O151"/>
    <mergeCell ref="I152:K152"/>
    <mergeCell ref="L152:M152"/>
    <mergeCell ref="N152:O152"/>
    <mergeCell ref="I153:K153"/>
    <mergeCell ref="L156:M156"/>
    <mergeCell ref="N156:O156"/>
    <mergeCell ref="I154:K154"/>
    <mergeCell ref="L154:M154"/>
    <mergeCell ref="N154:O154"/>
    <mergeCell ref="I155:K155"/>
    <mergeCell ref="L155:M155"/>
    <mergeCell ref="N155:O155"/>
    <mergeCell ref="I156:K156"/>
    <mergeCell ref="L159:M159"/>
    <mergeCell ref="N159:O159"/>
    <mergeCell ref="I157:K157"/>
    <mergeCell ref="L157:M157"/>
    <mergeCell ref="N157:O157"/>
    <mergeCell ref="I158:K158"/>
    <mergeCell ref="L158:M158"/>
    <mergeCell ref="N158:O158"/>
    <mergeCell ref="I159:K159"/>
    <mergeCell ref="L162:M162"/>
    <mergeCell ref="N162:O162"/>
    <mergeCell ref="I160:K160"/>
    <mergeCell ref="L160:M160"/>
    <mergeCell ref="N160:O160"/>
    <mergeCell ref="I161:K161"/>
    <mergeCell ref="L161:M161"/>
    <mergeCell ref="N161:O161"/>
    <mergeCell ref="I162:K162"/>
    <mergeCell ref="L165:M165"/>
    <mergeCell ref="N165:O165"/>
    <mergeCell ref="I163:K163"/>
    <mergeCell ref="L163:M163"/>
    <mergeCell ref="N163:O163"/>
    <mergeCell ref="I164:K164"/>
    <mergeCell ref="L164:M164"/>
    <mergeCell ref="N164:O164"/>
    <mergeCell ref="I165:K165"/>
    <mergeCell ref="L168:M168"/>
    <mergeCell ref="N168:O168"/>
    <mergeCell ref="I166:K166"/>
    <mergeCell ref="L166:M166"/>
    <mergeCell ref="N166:O166"/>
    <mergeCell ref="I167:K167"/>
    <mergeCell ref="L167:M167"/>
    <mergeCell ref="N167:O167"/>
    <mergeCell ref="I168:K168"/>
    <mergeCell ref="L171:M171"/>
    <mergeCell ref="N171:O171"/>
    <mergeCell ref="I169:K169"/>
    <mergeCell ref="L169:M169"/>
    <mergeCell ref="N169:O169"/>
    <mergeCell ref="I170:K170"/>
    <mergeCell ref="L170:M170"/>
    <mergeCell ref="N170:O170"/>
    <mergeCell ref="I171:K171"/>
    <mergeCell ref="L174:M174"/>
    <mergeCell ref="N174:O174"/>
    <mergeCell ref="I172:K172"/>
    <mergeCell ref="L172:M172"/>
    <mergeCell ref="N172:O172"/>
    <mergeCell ref="I173:K173"/>
    <mergeCell ref="L173:M173"/>
    <mergeCell ref="N173:O173"/>
    <mergeCell ref="I174:K174"/>
    <mergeCell ref="L177:M177"/>
    <mergeCell ref="N177:O177"/>
    <mergeCell ref="I175:K175"/>
    <mergeCell ref="L175:M175"/>
    <mergeCell ref="N175:O175"/>
    <mergeCell ref="I176:K176"/>
    <mergeCell ref="L176:M176"/>
    <mergeCell ref="N176:O176"/>
    <mergeCell ref="I177:K177"/>
    <mergeCell ref="L180:M180"/>
    <mergeCell ref="N180:O180"/>
    <mergeCell ref="I178:K178"/>
    <mergeCell ref="L178:M178"/>
    <mergeCell ref="N178:O178"/>
    <mergeCell ref="I179:K179"/>
    <mergeCell ref="L179:M179"/>
    <mergeCell ref="N179:O179"/>
    <mergeCell ref="I180:K180"/>
    <mergeCell ref="L183:M183"/>
    <mergeCell ref="N183:O183"/>
    <mergeCell ref="I181:K181"/>
    <mergeCell ref="L181:M181"/>
    <mergeCell ref="N181:O181"/>
    <mergeCell ref="I182:K182"/>
    <mergeCell ref="L182:M182"/>
    <mergeCell ref="N182:O182"/>
    <mergeCell ref="I183:K183"/>
  </mergeCells>
  <conditionalFormatting sqref="C18:G248">
    <cfRule type="cellIs" dxfId="0" priority="1" stopIfTrue="1" operator="equal">
      <formula>"Borrar"</formula>
    </cfRule>
  </conditionalFormatting>
  <conditionalFormatting sqref="I18:I248">
    <cfRule type="cellIs" dxfId="0" priority="2" stopIfTrue="1" operator="equal">
      <formula>"Pago mayor"</formula>
    </cfRule>
  </conditionalFormatting>
  <conditionalFormatting sqref="I19:I24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271988.0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271988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271988</v>
      </c>
      <c r="O15" s="17"/>
      <c r="P15" s="65">
        <f t="shared" ref="P15:Q15" si="1">P139</f>
        <v>90265</v>
      </c>
      <c r="Q15" s="66">
        <f t="shared" si="1"/>
        <v>362253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271988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270327</v>
      </c>
      <c r="J19" s="10"/>
      <c r="K19" s="17"/>
      <c r="L19" s="81"/>
      <c r="M19" s="17"/>
      <c r="N19" s="82">
        <f>ROUND(($Q$19-$P$19-$L$19),0)</f>
        <v>1661</v>
      </c>
      <c r="O19" s="17"/>
      <c r="P19" s="87">
        <f t="shared" ref="P19:P138" si="8">ROUNDDOWN((I18*$I$6),0)</f>
        <v>1359</v>
      </c>
      <c r="Q19" s="87">
        <f>ROUND((-PMT($I$6,$I$7,$I$5,0,0)+L19),0)</f>
        <v>3020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268658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1669</v>
      </c>
      <c r="O20" s="17"/>
      <c r="P20" s="87">
        <f t="shared" si="8"/>
        <v>1351</v>
      </c>
      <c r="Q20" s="87">
        <f t="shared" ref="Q20:Q138" si="10">SUM(L20:P20)</f>
        <v>3020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266981</v>
      </c>
      <c r="J21" s="10"/>
      <c r="K21" s="17"/>
      <c r="L21" s="81"/>
      <c r="M21" s="17"/>
      <c r="N21" s="82">
        <f t="shared" si="9"/>
        <v>1677</v>
      </c>
      <c r="O21" s="17"/>
      <c r="P21" s="87">
        <f t="shared" si="8"/>
        <v>1343</v>
      </c>
      <c r="Q21" s="87">
        <f t="shared" si="10"/>
        <v>3020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265295</v>
      </c>
      <c r="J22" s="10"/>
      <c r="K22" s="17"/>
      <c r="L22" s="81"/>
      <c r="M22" s="17"/>
      <c r="N22" s="82">
        <f t="shared" si="9"/>
        <v>1686</v>
      </c>
      <c r="O22" s="17"/>
      <c r="P22" s="87">
        <f t="shared" si="8"/>
        <v>1334</v>
      </c>
      <c r="Q22" s="87">
        <f t="shared" si="10"/>
        <v>3020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263601</v>
      </c>
      <c r="J23" s="10"/>
      <c r="K23" s="17"/>
      <c r="L23" s="81"/>
      <c r="M23" s="17"/>
      <c r="N23" s="82">
        <f t="shared" si="9"/>
        <v>1694</v>
      </c>
      <c r="O23" s="17"/>
      <c r="P23" s="87">
        <f t="shared" si="8"/>
        <v>1326</v>
      </c>
      <c r="Q23" s="87">
        <f t="shared" si="10"/>
        <v>3020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261899</v>
      </c>
      <c r="J24" s="10"/>
      <c r="K24" s="17"/>
      <c r="L24" s="81"/>
      <c r="M24" s="17"/>
      <c r="N24" s="82">
        <f t="shared" si="9"/>
        <v>1702</v>
      </c>
      <c r="O24" s="17"/>
      <c r="P24" s="87">
        <f t="shared" si="8"/>
        <v>1318</v>
      </c>
      <c r="Q24" s="87">
        <f t="shared" si="10"/>
        <v>3020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260188</v>
      </c>
      <c r="J25" s="10"/>
      <c r="K25" s="17"/>
      <c r="L25" s="81"/>
      <c r="M25" s="17"/>
      <c r="N25" s="82">
        <f t="shared" si="9"/>
        <v>1711</v>
      </c>
      <c r="O25" s="17"/>
      <c r="P25" s="87">
        <f t="shared" si="8"/>
        <v>1309</v>
      </c>
      <c r="Q25" s="87">
        <f t="shared" si="10"/>
        <v>3020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258468</v>
      </c>
      <c r="J26" s="10"/>
      <c r="K26" s="17"/>
      <c r="L26" s="81"/>
      <c r="M26" s="17"/>
      <c r="N26" s="82">
        <f t="shared" si="9"/>
        <v>1720</v>
      </c>
      <c r="O26" s="17"/>
      <c r="P26" s="87">
        <f t="shared" si="8"/>
        <v>1300</v>
      </c>
      <c r="Q26" s="87">
        <f t="shared" si="10"/>
        <v>3020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256740</v>
      </c>
      <c r="J27" s="10"/>
      <c r="K27" s="17"/>
      <c r="L27" s="81"/>
      <c r="M27" s="17"/>
      <c r="N27" s="82">
        <f t="shared" si="9"/>
        <v>1728</v>
      </c>
      <c r="O27" s="17"/>
      <c r="P27" s="87">
        <f t="shared" si="8"/>
        <v>1292</v>
      </c>
      <c r="Q27" s="87">
        <f t="shared" si="10"/>
        <v>3020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255003</v>
      </c>
      <c r="J28" s="10"/>
      <c r="K28" s="17"/>
      <c r="L28" s="81"/>
      <c r="M28" s="17"/>
      <c r="N28" s="82">
        <f t="shared" si="9"/>
        <v>1737</v>
      </c>
      <c r="O28" s="17"/>
      <c r="P28" s="87">
        <f t="shared" si="8"/>
        <v>1283</v>
      </c>
      <c r="Q28" s="87">
        <f t="shared" si="10"/>
        <v>3020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253258</v>
      </c>
      <c r="J29" s="10"/>
      <c r="K29" s="17"/>
      <c r="L29" s="81"/>
      <c r="M29" s="17"/>
      <c r="N29" s="82">
        <f t="shared" si="9"/>
        <v>1745</v>
      </c>
      <c r="O29" s="17"/>
      <c r="P29" s="87">
        <f t="shared" si="8"/>
        <v>1275</v>
      </c>
      <c r="Q29" s="87">
        <f t="shared" si="10"/>
        <v>3020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251504</v>
      </c>
      <c r="J30" s="10"/>
      <c r="K30" s="17"/>
      <c r="L30" s="81"/>
      <c r="M30" s="17"/>
      <c r="N30" s="82">
        <f t="shared" si="9"/>
        <v>1754</v>
      </c>
      <c r="O30" s="17"/>
      <c r="P30" s="87">
        <f t="shared" si="8"/>
        <v>1266</v>
      </c>
      <c r="Q30" s="87">
        <f t="shared" si="10"/>
        <v>3020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249741</v>
      </c>
      <c r="J31" s="10"/>
      <c r="K31" s="17"/>
      <c r="L31" s="81"/>
      <c r="M31" s="17"/>
      <c r="N31" s="82">
        <f t="shared" si="9"/>
        <v>1763</v>
      </c>
      <c r="O31" s="17"/>
      <c r="P31" s="87">
        <f t="shared" si="8"/>
        <v>1257</v>
      </c>
      <c r="Q31" s="87">
        <f t="shared" si="10"/>
        <v>3020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247969</v>
      </c>
      <c r="J32" s="10"/>
      <c r="K32" s="17"/>
      <c r="L32" s="81"/>
      <c r="M32" s="17"/>
      <c r="N32" s="82">
        <f t="shared" si="9"/>
        <v>1772</v>
      </c>
      <c r="O32" s="17"/>
      <c r="P32" s="87">
        <f t="shared" si="8"/>
        <v>1248</v>
      </c>
      <c r="Q32" s="87">
        <f t="shared" si="10"/>
        <v>3020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246188</v>
      </c>
      <c r="J33" s="10"/>
      <c r="K33" s="17"/>
      <c r="L33" s="81"/>
      <c r="M33" s="17"/>
      <c r="N33" s="82">
        <f t="shared" si="9"/>
        <v>1781</v>
      </c>
      <c r="O33" s="17"/>
      <c r="P33" s="87">
        <f t="shared" si="8"/>
        <v>1239</v>
      </c>
      <c r="Q33" s="87">
        <f t="shared" si="10"/>
        <v>3020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244398</v>
      </c>
      <c r="J34" s="10"/>
      <c r="K34" s="17"/>
      <c r="L34" s="81"/>
      <c r="M34" s="17"/>
      <c r="N34" s="82">
        <f t="shared" si="9"/>
        <v>1790</v>
      </c>
      <c r="O34" s="17"/>
      <c r="P34" s="87">
        <f t="shared" si="8"/>
        <v>1230</v>
      </c>
      <c r="Q34" s="87">
        <f t="shared" si="10"/>
        <v>3020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242599</v>
      </c>
      <c r="J35" s="10"/>
      <c r="K35" s="17"/>
      <c r="L35" s="81"/>
      <c r="M35" s="17"/>
      <c r="N35" s="82">
        <f t="shared" si="9"/>
        <v>1799</v>
      </c>
      <c r="O35" s="17"/>
      <c r="P35" s="87">
        <f t="shared" si="8"/>
        <v>1221</v>
      </c>
      <c r="Q35" s="87">
        <f t="shared" si="10"/>
        <v>3020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240791</v>
      </c>
      <c r="J36" s="10"/>
      <c r="K36" s="17"/>
      <c r="L36" s="81"/>
      <c r="M36" s="17"/>
      <c r="N36" s="82">
        <f t="shared" si="9"/>
        <v>1808</v>
      </c>
      <c r="O36" s="17"/>
      <c r="P36" s="87">
        <f t="shared" si="8"/>
        <v>1212</v>
      </c>
      <c r="Q36" s="87">
        <f t="shared" si="10"/>
        <v>3020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238974</v>
      </c>
      <c r="J37" s="10"/>
      <c r="K37" s="17"/>
      <c r="L37" s="81"/>
      <c r="M37" s="17"/>
      <c r="N37" s="82">
        <f t="shared" si="9"/>
        <v>1817</v>
      </c>
      <c r="O37" s="17"/>
      <c r="P37" s="87">
        <f t="shared" si="8"/>
        <v>1203</v>
      </c>
      <c r="Q37" s="87">
        <f t="shared" si="10"/>
        <v>3020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237148</v>
      </c>
      <c r="J38" s="10"/>
      <c r="K38" s="17"/>
      <c r="L38" s="81"/>
      <c r="M38" s="17"/>
      <c r="N38" s="82">
        <f t="shared" si="9"/>
        <v>1826</v>
      </c>
      <c r="O38" s="17"/>
      <c r="P38" s="87">
        <f t="shared" si="8"/>
        <v>1194</v>
      </c>
      <c r="Q38" s="87">
        <f t="shared" si="10"/>
        <v>3020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235313</v>
      </c>
      <c r="J39" s="10"/>
      <c r="K39" s="17"/>
      <c r="L39" s="81"/>
      <c r="M39" s="17"/>
      <c r="N39" s="82">
        <f t="shared" si="9"/>
        <v>1835</v>
      </c>
      <c r="O39" s="17"/>
      <c r="P39" s="87">
        <f t="shared" si="8"/>
        <v>1185</v>
      </c>
      <c r="Q39" s="87">
        <f t="shared" si="10"/>
        <v>3020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233469</v>
      </c>
      <c r="J40" s="10"/>
      <c r="K40" s="17"/>
      <c r="L40" s="81"/>
      <c r="M40" s="17"/>
      <c r="N40" s="82">
        <f t="shared" si="9"/>
        <v>1844</v>
      </c>
      <c r="O40" s="17"/>
      <c r="P40" s="87">
        <f t="shared" si="8"/>
        <v>1176</v>
      </c>
      <c r="Q40" s="87">
        <f t="shared" si="10"/>
        <v>3020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231616</v>
      </c>
      <c r="J41" s="10"/>
      <c r="K41" s="17"/>
      <c r="L41" s="81"/>
      <c r="M41" s="17"/>
      <c r="N41" s="82">
        <f t="shared" si="9"/>
        <v>1853</v>
      </c>
      <c r="O41" s="17"/>
      <c r="P41" s="87">
        <f t="shared" si="8"/>
        <v>1167</v>
      </c>
      <c r="Q41" s="87">
        <f t="shared" si="10"/>
        <v>3020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229754</v>
      </c>
      <c r="J42" s="10"/>
      <c r="K42" s="17"/>
      <c r="L42" s="81"/>
      <c r="M42" s="17"/>
      <c r="N42" s="82">
        <f t="shared" si="9"/>
        <v>1862</v>
      </c>
      <c r="O42" s="17"/>
      <c r="P42" s="87">
        <f t="shared" si="8"/>
        <v>1158</v>
      </c>
      <c r="Q42" s="87">
        <f t="shared" si="10"/>
        <v>3020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227882</v>
      </c>
      <c r="J43" s="10"/>
      <c r="K43" s="17"/>
      <c r="L43" s="81"/>
      <c r="M43" s="17"/>
      <c r="N43" s="82">
        <f t="shared" si="9"/>
        <v>1872</v>
      </c>
      <c r="O43" s="17"/>
      <c r="P43" s="87">
        <f t="shared" si="8"/>
        <v>1148</v>
      </c>
      <c r="Q43" s="87">
        <f t="shared" si="10"/>
        <v>3020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226001</v>
      </c>
      <c r="J44" s="10"/>
      <c r="K44" s="17"/>
      <c r="L44" s="81"/>
      <c r="M44" s="17"/>
      <c r="N44" s="82">
        <f t="shared" si="9"/>
        <v>1881</v>
      </c>
      <c r="O44" s="17"/>
      <c r="P44" s="87">
        <f t="shared" si="8"/>
        <v>1139</v>
      </c>
      <c r="Q44" s="87">
        <f t="shared" si="10"/>
        <v>3020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224111</v>
      </c>
      <c r="J45" s="10"/>
      <c r="K45" s="17"/>
      <c r="L45" s="81"/>
      <c r="M45" s="17"/>
      <c r="N45" s="82">
        <f t="shared" si="9"/>
        <v>1890</v>
      </c>
      <c r="O45" s="17"/>
      <c r="P45" s="87">
        <f t="shared" si="8"/>
        <v>1130</v>
      </c>
      <c r="Q45" s="87">
        <f t="shared" si="10"/>
        <v>3020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222211</v>
      </c>
      <c r="J46" s="10"/>
      <c r="K46" s="17"/>
      <c r="L46" s="81"/>
      <c r="M46" s="17"/>
      <c r="N46" s="82">
        <f t="shared" si="9"/>
        <v>1900</v>
      </c>
      <c r="O46" s="17"/>
      <c r="P46" s="87">
        <f t="shared" si="8"/>
        <v>1120</v>
      </c>
      <c r="Q46" s="87">
        <f t="shared" si="10"/>
        <v>3020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220302</v>
      </c>
      <c r="J47" s="10"/>
      <c r="K47" s="17"/>
      <c r="L47" s="81"/>
      <c r="M47" s="17"/>
      <c r="N47" s="82">
        <f t="shared" si="9"/>
        <v>1909</v>
      </c>
      <c r="O47" s="17"/>
      <c r="P47" s="87">
        <f t="shared" si="8"/>
        <v>1111</v>
      </c>
      <c r="Q47" s="87">
        <f t="shared" si="10"/>
        <v>3020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218383</v>
      </c>
      <c r="J48" s="10"/>
      <c r="K48" s="17"/>
      <c r="L48" s="81"/>
      <c r="M48" s="17"/>
      <c r="N48" s="82">
        <f t="shared" si="9"/>
        <v>1919</v>
      </c>
      <c r="O48" s="17"/>
      <c r="P48" s="87">
        <f t="shared" si="8"/>
        <v>1101</v>
      </c>
      <c r="Q48" s="87">
        <f t="shared" si="10"/>
        <v>3020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216454</v>
      </c>
      <c r="J49" s="10"/>
      <c r="K49" s="17"/>
      <c r="L49" s="81"/>
      <c r="M49" s="17"/>
      <c r="N49" s="82">
        <f t="shared" si="9"/>
        <v>1929</v>
      </c>
      <c r="O49" s="17"/>
      <c r="P49" s="87">
        <f t="shared" si="8"/>
        <v>1091</v>
      </c>
      <c r="Q49" s="87">
        <f t="shared" si="10"/>
        <v>3020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214516</v>
      </c>
      <c r="J50" s="10"/>
      <c r="K50" s="17"/>
      <c r="L50" s="81"/>
      <c r="M50" s="17"/>
      <c r="N50" s="82">
        <f t="shared" si="9"/>
        <v>1938</v>
      </c>
      <c r="O50" s="17"/>
      <c r="P50" s="87">
        <f t="shared" si="8"/>
        <v>1082</v>
      </c>
      <c r="Q50" s="87">
        <f t="shared" si="10"/>
        <v>3020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212568</v>
      </c>
      <c r="J51" s="10"/>
      <c r="K51" s="17"/>
      <c r="L51" s="81"/>
      <c r="M51" s="17"/>
      <c r="N51" s="82">
        <f t="shared" si="9"/>
        <v>1948</v>
      </c>
      <c r="O51" s="17"/>
      <c r="P51" s="87">
        <f t="shared" si="8"/>
        <v>1072</v>
      </c>
      <c r="Q51" s="87">
        <f t="shared" si="10"/>
        <v>3020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210610</v>
      </c>
      <c r="J52" s="10"/>
      <c r="K52" s="17"/>
      <c r="L52" s="81"/>
      <c r="M52" s="17"/>
      <c r="N52" s="82">
        <f t="shared" si="9"/>
        <v>1958</v>
      </c>
      <c r="O52" s="17"/>
      <c r="P52" s="87">
        <f t="shared" si="8"/>
        <v>1062</v>
      </c>
      <c r="Q52" s="87">
        <f t="shared" si="10"/>
        <v>3020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208643</v>
      </c>
      <c r="J53" s="10"/>
      <c r="K53" s="17"/>
      <c r="L53" s="81"/>
      <c r="M53" s="17"/>
      <c r="N53" s="82">
        <f t="shared" si="9"/>
        <v>1967</v>
      </c>
      <c r="O53" s="17"/>
      <c r="P53" s="87">
        <f t="shared" si="8"/>
        <v>1053</v>
      </c>
      <c r="Q53" s="87">
        <f t="shared" si="10"/>
        <v>3020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206666</v>
      </c>
      <c r="J54" s="10"/>
      <c r="K54" s="17"/>
      <c r="L54" s="81"/>
      <c r="M54" s="17"/>
      <c r="N54" s="82">
        <f t="shared" si="9"/>
        <v>1977</v>
      </c>
      <c r="O54" s="17"/>
      <c r="P54" s="87">
        <f t="shared" si="8"/>
        <v>1043</v>
      </c>
      <c r="Q54" s="87">
        <f t="shared" si="10"/>
        <v>3020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204679</v>
      </c>
      <c r="J55" s="10"/>
      <c r="K55" s="17"/>
      <c r="L55" s="81"/>
      <c r="M55" s="17"/>
      <c r="N55" s="82">
        <f t="shared" si="9"/>
        <v>1987</v>
      </c>
      <c r="O55" s="17"/>
      <c r="P55" s="87">
        <f t="shared" si="8"/>
        <v>1033</v>
      </c>
      <c r="Q55" s="87">
        <f t="shared" si="10"/>
        <v>3020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202682</v>
      </c>
      <c r="J56" s="10"/>
      <c r="K56" s="17"/>
      <c r="L56" s="81"/>
      <c r="M56" s="17"/>
      <c r="N56" s="82">
        <f t="shared" si="9"/>
        <v>1997</v>
      </c>
      <c r="O56" s="17"/>
      <c r="P56" s="87">
        <f t="shared" si="8"/>
        <v>1023</v>
      </c>
      <c r="Q56" s="87">
        <f t="shared" si="10"/>
        <v>3020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200675</v>
      </c>
      <c r="J57" s="10"/>
      <c r="K57" s="17"/>
      <c r="L57" s="81"/>
      <c r="M57" s="17"/>
      <c r="N57" s="82">
        <f t="shared" si="9"/>
        <v>2007</v>
      </c>
      <c r="O57" s="17"/>
      <c r="P57" s="87">
        <f t="shared" si="8"/>
        <v>1013</v>
      </c>
      <c r="Q57" s="87">
        <f t="shared" si="10"/>
        <v>3020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198658</v>
      </c>
      <c r="J58" s="10"/>
      <c r="K58" s="17"/>
      <c r="L58" s="81"/>
      <c r="M58" s="17"/>
      <c r="N58" s="82">
        <f t="shared" si="9"/>
        <v>2017</v>
      </c>
      <c r="O58" s="17"/>
      <c r="P58" s="87">
        <f t="shared" si="8"/>
        <v>1003</v>
      </c>
      <c r="Q58" s="87">
        <f t="shared" si="10"/>
        <v>3020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196631</v>
      </c>
      <c r="J59" s="10"/>
      <c r="K59" s="17"/>
      <c r="L59" s="81"/>
      <c r="M59" s="17"/>
      <c r="N59" s="82">
        <f t="shared" si="9"/>
        <v>2027</v>
      </c>
      <c r="O59" s="17"/>
      <c r="P59" s="87">
        <f t="shared" si="8"/>
        <v>993</v>
      </c>
      <c r="Q59" s="87">
        <f t="shared" si="10"/>
        <v>3020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194594</v>
      </c>
      <c r="J60" s="10"/>
      <c r="K60" s="17"/>
      <c r="L60" s="81"/>
      <c r="M60" s="17"/>
      <c r="N60" s="82">
        <f t="shared" si="9"/>
        <v>2037</v>
      </c>
      <c r="O60" s="17"/>
      <c r="P60" s="87">
        <f t="shared" si="8"/>
        <v>983</v>
      </c>
      <c r="Q60" s="87">
        <f t="shared" si="10"/>
        <v>3020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192546</v>
      </c>
      <c r="J61" s="10"/>
      <c r="K61" s="17"/>
      <c r="L61" s="81"/>
      <c r="M61" s="17"/>
      <c r="N61" s="82">
        <f t="shared" si="9"/>
        <v>2048</v>
      </c>
      <c r="O61" s="17"/>
      <c r="P61" s="87">
        <f t="shared" si="8"/>
        <v>972</v>
      </c>
      <c r="Q61" s="87">
        <f t="shared" si="10"/>
        <v>3020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190488</v>
      </c>
      <c r="J62" s="10"/>
      <c r="K62" s="17"/>
      <c r="L62" s="81"/>
      <c r="M62" s="17"/>
      <c r="N62" s="82">
        <f t="shared" si="9"/>
        <v>2058</v>
      </c>
      <c r="O62" s="17"/>
      <c r="P62" s="87">
        <f t="shared" si="8"/>
        <v>962</v>
      </c>
      <c r="Q62" s="87">
        <f t="shared" si="10"/>
        <v>3020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188420</v>
      </c>
      <c r="J63" s="10"/>
      <c r="K63" s="17"/>
      <c r="L63" s="81"/>
      <c r="M63" s="17"/>
      <c r="N63" s="82">
        <f t="shared" si="9"/>
        <v>2068</v>
      </c>
      <c r="O63" s="17"/>
      <c r="P63" s="87">
        <f t="shared" si="8"/>
        <v>952</v>
      </c>
      <c r="Q63" s="87">
        <f t="shared" si="10"/>
        <v>3020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186342</v>
      </c>
      <c r="J64" s="10"/>
      <c r="K64" s="17"/>
      <c r="L64" s="81"/>
      <c r="M64" s="17"/>
      <c r="N64" s="82">
        <f t="shared" si="9"/>
        <v>2078</v>
      </c>
      <c r="O64" s="17"/>
      <c r="P64" s="87">
        <f t="shared" si="8"/>
        <v>942</v>
      </c>
      <c r="Q64" s="87">
        <f t="shared" si="10"/>
        <v>3020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184253</v>
      </c>
      <c r="J65" s="10"/>
      <c r="K65" s="17"/>
      <c r="L65" s="81"/>
      <c r="M65" s="17"/>
      <c r="N65" s="82">
        <f t="shared" si="9"/>
        <v>2089</v>
      </c>
      <c r="O65" s="17"/>
      <c r="P65" s="87">
        <f t="shared" si="8"/>
        <v>931</v>
      </c>
      <c r="Q65" s="87">
        <f t="shared" si="10"/>
        <v>3020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182154</v>
      </c>
      <c r="J66" s="10"/>
      <c r="K66" s="17"/>
      <c r="L66" s="81"/>
      <c r="M66" s="17"/>
      <c r="N66" s="82">
        <f t="shared" si="9"/>
        <v>2099</v>
      </c>
      <c r="O66" s="17"/>
      <c r="P66" s="87">
        <f t="shared" si="8"/>
        <v>921</v>
      </c>
      <c r="Q66" s="87">
        <f t="shared" si="10"/>
        <v>3020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180044</v>
      </c>
      <c r="J67" s="10"/>
      <c r="K67" s="17"/>
      <c r="L67" s="81"/>
      <c r="M67" s="17"/>
      <c r="N67" s="82">
        <f t="shared" si="9"/>
        <v>2110</v>
      </c>
      <c r="O67" s="17"/>
      <c r="P67" s="87">
        <f t="shared" si="8"/>
        <v>910</v>
      </c>
      <c r="Q67" s="87">
        <f t="shared" si="10"/>
        <v>3020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177924</v>
      </c>
      <c r="J68" s="10"/>
      <c r="K68" s="17"/>
      <c r="L68" s="81"/>
      <c r="M68" s="17"/>
      <c r="N68" s="82">
        <f t="shared" si="9"/>
        <v>2120</v>
      </c>
      <c r="O68" s="17"/>
      <c r="P68" s="87">
        <f t="shared" si="8"/>
        <v>900</v>
      </c>
      <c r="Q68" s="87">
        <f t="shared" si="10"/>
        <v>3020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175793</v>
      </c>
      <c r="J69" s="10"/>
      <c r="K69" s="17"/>
      <c r="L69" s="81"/>
      <c r="M69" s="17"/>
      <c r="N69" s="82">
        <f t="shared" si="9"/>
        <v>2131</v>
      </c>
      <c r="O69" s="17"/>
      <c r="P69" s="87">
        <f t="shared" si="8"/>
        <v>889</v>
      </c>
      <c r="Q69" s="87">
        <f t="shared" si="10"/>
        <v>3020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173651</v>
      </c>
      <c r="J70" s="10"/>
      <c r="K70" s="17"/>
      <c r="L70" s="90"/>
      <c r="M70" s="91"/>
      <c r="N70" s="82">
        <f t="shared" si="9"/>
        <v>2142</v>
      </c>
      <c r="O70" s="17"/>
      <c r="P70" s="87">
        <f t="shared" si="8"/>
        <v>878</v>
      </c>
      <c r="Q70" s="87">
        <f t="shared" si="10"/>
        <v>3020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171499</v>
      </c>
      <c r="J71" s="10"/>
      <c r="K71" s="17"/>
      <c r="L71" s="90"/>
      <c r="M71" s="91"/>
      <c r="N71" s="82">
        <f t="shared" si="9"/>
        <v>2152</v>
      </c>
      <c r="O71" s="17"/>
      <c r="P71" s="87">
        <f t="shared" si="8"/>
        <v>868</v>
      </c>
      <c r="Q71" s="87">
        <f t="shared" si="10"/>
        <v>3020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169336</v>
      </c>
      <c r="J72" s="10"/>
      <c r="K72" s="17"/>
      <c r="L72" s="90"/>
      <c r="M72" s="91"/>
      <c r="N72" s="82">
        <f t="shared" si="9"/>
        <v>2163</v>
      </c>
      <c r="O72" s="17"/>
      <c r="P72" s="87">
        <f t="shared" si="8"/>
        <v>857</v>
      </c>
      <c r="Q72" s="87">
        <f t="shared" si="10"/>
        <v>3020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167162</v>
      </c>
      <c r="J73" s="10"/>
      <c r="K73" s="17"/>
      <c r="L73" s="90"/>
      <c r="M73" s="91"/>
      <c r="N73" s="82">
        <f t="shared" si="9"/>
        <v>2174</v>
      </c>
      <c r="O73" s="17"/>
      <c r="P73" s="87">
        <f t="shared" si="8"/>
        <v>846</v>
      </c>
      <c r="Q73" s="87">
        <f t="shared" si="10"/>
        <v>3020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164977</v>
      </c>
      <c r="J74" s="10"/>
      <c r="K74" s="17"/>
      <c r="L74" s="90"/>
      <c r="M74" s="91"/>
      <c r="N74" s="82">
        <f t="shared" si="9"/>
        <v>2185</v>
      </c>
      <c r="O74" s="17"/>
      <c r="P74" s="87">
        <f t="shared" si="8"/>
        <v>835</v>
      </c>
      <c r="Q74" s="87">
        <f t="shared" si="10"/>
        <v>3020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162781</v>
      </c>
      <c r="J75" s="10"/>
      <c r="K75" s="17"/>
      <c r="L75" s="90"/>
      <c r="M75" s="91"/>
      <c r="N75" s="82">
        <f t="shared" si="9"/>
        <v>2196</v>
      </c>
      <c r="O75" s="17"/>
      <c r="P75" s="87">
        <f t="shared" si="8"/>
        <v>824</v>
      </c>
      <c r="Q75" s="87">
        <f t="shared" si="10"/>
        <v>3020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160574</v>
      </c>
      <c r="J76" s="10"/>
      <c r="K76" s="17"/>
      <c r="L76" s="90"/>
      <c r="M76" s="91"/>
      <c r="N76" s="82">
        <f t="shared" si="9"/>
        <v>2207</v>
      </c>
      <c r="O76" s="17"/>
      <c r="P76" s="87">
        <f t="shared" si="8"/>
        <v>813</v>
      </c>
      <c r="Q76" s="87">
        <f t="shared" si="10"/>
        <v>3020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158356</v>
      </c>
      <c r="J77" s="10"/>
      <c r="K77" s="17"/>
      <c r="L77" s="90"/>
      <c r="M77" s="91"/>
      <c r="N77" s="82">
        <f t="shared" si="9"/>
        <v>2218</v>
      </c>
      <c r="O77" s="17"/>
      <c r="P77" s="87">
        <f t="shared" si="8"/>
        <v>802</v>
      </c>
      <c r="Q77" s="87">
        <f t="shared" si="10"/>
        <v>3020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156127</v>
      </c>
      <c r="J78" s="10"/>
      <c r="K78" s="17"/>
      <c r="L78" s="81"/>
      <c r="M78" s="17"/>
      <c r="N78" s="82">
        <f t="shared" si="9"/>
        <v>2229</v>
      </c>
      <c r="O78" s="17"/>
      <c r="P78" s="87">
        <f t="shared" si="8"/>
        <v>791</v>
      </c>
      <c r="Q78" s="87">
        <f t="shared" si="10"/>
        <v>3020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153887</v>
      </c>
      <c r="J79" s="10"/>
      <c r="K79" s="17"/>
      <c r="L79" s="81"/>
      <c r="M79" s="17"/>
      <c r="N79" s="82">
        <f t="shared" si="9"/>
        <v>2240</v>
      </c>
      <c r="O79" s="17"/>
      <c r="P79" s="87">
        <f t="shared" si="8"/>
        <v>780</v>
      </c>
      <c r="Q79" s="87">
        <f t="shared" si="10"/>
        <v>3020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151636</v>
      </c>
      <c r="J80" s="10"/>
      <c r="K80" s="17"/>
      <c r="L80" s="81"/>
      <c r="M80" s="17"/>
      <c r="N80" s="82">
        <f t="shared" si="9"/>
        <v>2251</v>
      </c>
      <c r="O80" s="17"/>
      <c r="P80" s="87">
        <f t="shared" si="8"/>
        <v>769</v>
      </c>
      <c r="Q80" s="87">
        <f t="shared" si="10"/>
        <v>3020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149374</v>
      </c>
      <c r="J81" s="10"/>
      <c r="K81" s="17"/>
      <c r="L81" s="81"/>
      <c r="M81" s="17"/>
      <c r="N81" s="82">
        <f t="shared" si="9"/>
        <v>2262</v>
      </c>
      <c r="O81" s="17"/>
      <c r="P81" s="87">
        <f t="shared" si="8"/>
        <v>758</v>
      </c>
      <c r="Q81" s="87">
        <f t="shared" si="10"/>
        <v>3020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147100</v>
      </c>
      <c r="J82" s="10"/>
      <c r="K82" s="17"/>
      <c r="L82" s="81"/>
      <c r="M82" s="17"/>
      <c r="N82" s="82">
        <f t="shared" si="9"/>
        <v>2274</v>
      </c>
      <c r="O82" s="17"/>
      <c r="P82" s="87">
        <f t="shared" si="8"/>
        <v>746</v>
      </c>
      <c r="Q82" s="87">
        <f t="shared" si="10"/>
        <v>3020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144815</v>
      </c>
      <c r="J83" s="10"/>
      <c r="K83" s="17"/>
      <c r="L83" s="81"/>
      <c r="M83" s="17"/>
      <c r="N83" s="82">
        <f t="shared" si="9"/>
        <v>2285</v>
      </c>
      <c r="O83" s="17"/>
      <c r="P83" s="87">
        <f t="shared" si="8"/>
        <v>735</v>
      </c>
      <c r="Q83" s="87">
        <f t="shared" si="10"/>
        <v>3020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142519</v>
      </c>
      <c r="J84" s="10"/>
      <c r="K84" s="17"/>
      <c r="L84" s="81"/>
      <c r="M84" s="17"/>
      <c r="N84" s="82">
        <f t="shared" si="9"/>
        <v>2296</v>
      </c>
      <c r="O84" s="17"/>
      <c r="P84" s="87">
        <f t="shared" si="8"/>
        <v>724</v>
      </c>
      <c r="Q84" s="87">
        <f t="shared" si="10"/>
        <v>3020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140211</v>
      </c>
      <c r="J85" s="10"/>
      <c r="K85" s="17"/>
      <c r="L85" s="81"/>
      <c r="M85" s="17"/>
      <c r="N85" s="82">
        <f t="shared" si="9"/>
        <v>2308</v>
      </c>
      <c r="O85" s="17"/>
      <c r="P85" s="87">
        <f t="shared" si="8"/>
        <v>712</v>
      </c>
      <c r="Q85" s="87">
        <f t="shared" si="10"/>
        <v>3020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137892</v>
      </c>
      <c r="J86" s="10"/>
      <c r="K86" s="17"/>
      <c r="L86" s="81"/>
      <c r="M86" s="17"/>
      <c r="N86" s="82">
        <f t="shared" si="9"/>
        <v>2319</v>
      </c>
      <c r="O86" s="17"/>
      <c r="P86" s="87">
        <f t="shared" si="8"/>
        <v>701</v>
      </c>
      <c r="Q86" s="87">
        <f t="shared" si="10"/>
        <v>3020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135561</v>
      </c>
      <c r="J87" s="10"/>
      <c r="K87" s="17"/>
      <c r="L87" s="81"/>
      <c r="M87" s="17"/>
      <c r="N87" s="82">
        <f t="shared" si="9"/>
        <v>2331</v>
      </c>
      <c r="O87" s="17"/>
      <c r="P87" s="87">
        <f t="shared" si="8"/>
        <v>689</v>
      </c>
      <c r="Q87" s="87">
        <f t="shared" si="10"/>
        <v>3020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133218</v>
      </c>
      <c r="J88" s="10"/>
      <c r="K88" s="17"/>
      <c r="L88" s="81"/>
      <c r="M88" s="17"/>
      <c r="N88" s="82">
        <f t="shared" si="9"/>
        <v>2343</v>
      </c>
      <c r="O88" s="17"/>
      <c r="P88" s="87">
        <f t="shared" si="8"/>
        <v>677</v>
      </c>
      <c r="Q88" s="87">
        <f t="shared" si="10"/>
        <v>3020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130864</v>
      </c>
      <c r="J89" s="10"/>
      <c r="K89" s="17"/>
      <c r="L89" s="81"/>
      <c r="M89" s="17"/>
      <c r="N89" s="82">
        <f t="shared" si="9"/>
        <v>2354</v>
      </c>
      <c r="O89" s="17"/>
      <c r="P89" s="87">
        <f t="shared" si="8"/>
        <v>666</v>
      </c>
      <c r="Q89" s="87">
        <f t="shared" si="10"/>
        <v>3020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128498</v>
      </c>
      <c r="J90" s="10"/>
      <c r="K90" s="17"/>
      <c r="L90" s="81"/>
      <c r="M90" s="17"/>
      <c r="N90" s="82">
        <f t="shared" si="9"/>
        <v>2366</v>
      </c>
      <c r="O90" s="17"/>
      <c r="P90" s="87">
        <f t="shared" si="8"/>
        <v>654</v>
      </c>
      <c r="Q90" s="87">
        <f t="shared" si="10"/>
        <v>3020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126120</v>
      </c>
      <c r="J91" s="10"/>
      <c r="K91" s="17"/>
      <c r="L91" s="81"/>
      <c r="M91" s="17"/>
      <c r="N91" s="82">
        <f t="shared" si="9"/>
        <v>2378</v>
      </c>
      <c r="O91" s="17"/>
      <c r="P91" s="87">
        <f t="shared" si="8"/>
        <v>642</v>
      </c>
      <c r="Q91" s="87">
        <f t="shared" si="10"/>
        <v>3020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123730</v>
      </c>
      <c r="J92" s="10"/>
      <c r="K92" s="17"/>
      <c r="L92" s="81"/>
      <c r="M92" s="17"/>
      <c r="N92" s="82">
        <f t="shared" si="9"/>
        <v>2390</v>
      </c>
      <c r="O92" s="17"/>
      <c r="P92" s="87">
        <f t="shared" si="8"/>
        <v>630</v>
      </c>
      <c r="Q92" s="87">
        <f t="shared" si="10"/>
        <v>3020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121328</v>
      </c>
      <c r="J93" s="10"/>
      <c r="K93" s="17"/>
      <c r="L93" s="81"/>
      <c r="M93" s="17"/>
      <c r="N93" s="82">
        <f t="shared" si="9"/>
        <v>2402</v>
      </c>
      <c r="O93" s="17"/>
      <c r="P93" s="87">
        <f t="shared" si="8"/>
        <v>618</v>
      </c>
      <c r="Q93" s="87">
        <f t="shared" si="10"/>
        <v>3020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118914</v>
      </c>
      <c r="J94" s="10"/>
      <c r="K94" s="17"/>
      <c r="L94" s="81"/>
      <c r="M94" s="17"/>
      <c r="N94" s="82">
        <f t="shared" si="9"/>
        <v>2414</v>
      </c>
      <c r="O94" s="17"/>
      <c r="P94" s="87">
        <f t="shared" si="8"/>
        <v>606</v>
      </c>
      <c r="Q94" s="87">
        <f t="shared" si="10"/>
        <v>3020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116488</v>
      </c>
      <c r="J95" s="10"/>
      <c r="K95" s="17"/>
      <c r="L95" s="81"/>
      <c r="M95" s="17"/>
      <c r="N95" s="82">
        <f t="shared" si="9"/>
        <v>2426</v>
      </c>
      <c r="O95" s="17"/>
      <c r="P95" s="87">
        <f t="shared" si="8"/>
        <v>594</v>
      </c>
      <c r="Q95" s="87">
        <f t="shared" si="10"/>
        <v>3020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114050</v>
      </c>
      <c r="J96" s="10"/>
      <c r="K96" s="17"/>
      <c r="L96" s="81"/>
      <c r="M96" s="17"/>
      <c r="N96" s="82">
        <f t="shared" si="9"/>
        <v>2438</v>
      </c>
      <c r="O96" s="17"/>
      <c r="P96" s="87">
        <f t="shared" si="8"/>
        <v>582</v>
      </c>
      <c r="Q96" s="87">
        <f t="shared" si="10"/>
        <v>3020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111600</v>
      </c>
      <c r="J97" s="10"/>
      <c r="K97" s="17"/>
      <c r="L97" s="81"/>
      <c r="M97" s="17"/>
      <c r="N97" s="82">
        <f t="shared" si="9"/>
        <v>2450</v>
      </c>
      <c r="O97" s="17"/>
      <c r="P97" s="87">
        <f t="shared" si="8"/>
        <v>570</v>
      </c>
      <c r="Q97" s="87">
        <f t="shared" si="10"/>
        <v>3020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109138</v>
      </c>
      <c r="J98" s="10"/>
      <c r="K98" s="17"/>
      <c r="L98" s="81"/>
      <c r="M98" s="17"/>
      <c r="N98" s="82">
        <f t="shared" si="9"/>
        <v>2462</v>
      </c>
      <c r="O98" s="17"/>
      <c r="P98" s="87">
        <f t="shared" si="8"/>
        <v>558</v>
      </c>
      <c r="Q98" s="87">
        <f t="shared" si="10"/>
        <v>3020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106663</v>
      </c>
      <c r="J99" s="10"/>
      <c r="K99" s="17"/>
      <c r="L99" s="81"/>
      <c r="M99" s="17"/>
      <c r="N99" s="82">
        <f t="shared" si="9"/>
        <v>2475</v>
      </c>
      <c r="O99" s="17"/>
      <c r="P99" s="87">
        <f t="shared" si="8"/>
        <v>545</v>
      </c>
      <c r="Q99" s="87">
        <f t="shared" si="10"/>
        <v>3020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104176</v>
      </c>
      <c r="J100" s="10"/>
      <c r="K100" s="17"/>
      <c r="L100" s="81"/>
      <c r="M100" s="17"/>
      <c r="N100" s="82">
        <f t="shared" si="9"/>
        <v>2487</v>
      </c>
      <c r="O100" s="17"/>
      <c r="P100" s="87">
        <f t="shared" si="8"/>
        <v>533</v>
      </c>
      <c r="Q100" s="87">
        <f t="shared" si="10"/>
        <v>3020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101676</v>
      </c>
      <c r="J101" s="10"/>
      <c r="K101" s="17"/>
      <c r="L101" s="81"/>
      <c r="M101" s="17"/>
      <c r="N101" s="82">
        <f t="shared" si="9"/>
        <v>2500</v>
      </c>
      <c r="O101" s="17"/>
      <c r="P101" s="87">
        <f t="shared" si="8"/>
        <v>520</v>
      </c>
      <c r="Q101" s="87">
        <f t="shared" si="10"/>
        <v>3020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99164</v>
      </c>
      <c r="J102" s="10"/>
      <c r="K102" s="17"/>
      <c r="L102" s="81"/>
      <c r="M102" s="17"/>
      <c r="N102" s="82">
        <f t="shared" si="9"/>
        <v>2512</v>
      </c>
      <c r="O102" s="17"/>
      <c r="P102" s="87">
        <f t="shared" si="8"/>
        <v>508</v>
      </c>
      <c r="Q102" s="87">
        <f t="shared" si="10"/>
        <v>3020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96639</v>
      </c>
      <c r="J103" s="10"/>
      <c r="K103" s="17"/>
      <c r="L103" s="81"/>
      <c r="M103" s="17"/>
      <c r="N103" s="82">
        <f t="shared" si="9"/>
        <v>2525</v>
      </c>
      <c r="O103" s="17"/>
      <c r="P103" s="87">
        <f t="shared" si="8"/>
        <v>495</v>
      </c>
      <c r="Q103" s="87">
        <f t="shared" si="10"/>
        <v>3020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94102</v>
      </c>
      <c r="J104" s="10"/>
      <c r="K104" s="17"/>
      <c r="L104" s="81"/>
      <c r="M104" s="17"/>
      <c r="N104" s="82">
        <f t="shared" si="9"/>
        <v>2537</v>
      </c>
      <c r="O104" s="17"/>
      <c r="P104" s="87">
        <f t="shared" si="8"/>
        <v>483</v>
      </c>
      <c r="Q104" s="87">
        <f t="shared" si="10"/>
        <v>3020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91552</v>
      </c>
      <c r="J105" s="10"/>
      <c r="K105" s="17"/>
      <c r="L105" s="81"/>
      <c r="M105" s="17"/>
      <c r="N105" s="82">
        <f t="shared" si="9"/>
        <v>2550</v>
      </c>
      <c r="O105" s="17"/>
      <c r="P105" s="87">
        <f t="shared" si="8"/>
        <v>470</v>
      </c>
      <c r="Q105" s="87">
        <f t="shared" si="10"/>
        <v>3020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88989</v>
      </c>
      <c r="J106" s="10"/>
      <c r="K106" s="17"/>
      <c r="L106" s="81"/>
      <c r="M106" s="17"/>
      <c r="N106" s="82">
        <f t="shared" si="9"/>
        <v>2563</v>
      </c>
      <c r="O106" s="17"/>
      <c r="P106" s="87">
        <f t="shared" si="8"/>
        <v>457</v>
      </c>
      <c r="Q106" s="87">
        <f t="shared" si="10"/>
        <v>3020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86413</v>
      </c>
      <c r="J107" s="10"/>
      <c r="K107" s="17"/>
      <c r="L107" s="81"/>
      <c r="M107" s="17"/>
      <c r="N107" s="82">
        <f t="shared" si="9"/>
        <v>2576</v>
      </c>
      <c r="O107" s="17"/>
      <c r="P107" s="87">
        <f t="shared" si="8"/>
        <v>444</v>
      </c>
      <c r="Q107" s="87">
        <f t="shared" si="10"/>
        <v>3020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83825</v>
      </c>
      <c r="J108" s="10"/>
      <c r="K108" s="17"/>
      <c r="L108" s="81"/>
      <c r="M108" s="17"/>
      <c r="N108" s="82">
        <f t="shared" si="9"/>
        <v>2588</v>
      </c>
      <c r="O108" s="17"/>
      <c r="P108" s="87">
        <f t="shared" si="8"/>
        <v>432</v>
      </c>
      <c r="Q108" s="87">
        <f t="shared" si="10"/>
        <v>3020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81224</v>
      </c>
      <c r="J109" s="10"/>
      <c r="K109" s="17"/>
      <c r="L109" s="81"/>
      <c r="M109" s="17"/>
      <c r="N109" s="82">
        <f t="shared" si="9"/>
        <v>2601</v>
      </c>
      <c r="O109" s="17"/>
      <c r="P109" s="87">
        <f t="shared" si="8"/>
        <v>419</v>
      </c>
      <c r="Q109" s="87">
        <f t="shared" si="10"/>
        <v>3020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78610</v>
      </c>
      <c r="J110" s="10"/>
      <c r="K110" s="17"/>
      <c r="L110" s="81"/>
      <c r="M110" s="17"/>
      <c r="N110" s="82">
        <f t="shared" si="9"/>
        <v>2614</v>
      </c>
      <c r="O110" s="17"/>
      <c r="P110" s="87">
        <f t="shared" si="8"/>
        <v>406</v>
      </c>
      <c r="Q110" s="87">
        <f t="shared" si="10"/>
        <v>3020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75983</v>
      </c>
      <c r="J111" s="10"/>
      <c r="K111" s="17"/>
      <c r="L111" s="81"/>
      <c r="M111" s="17"/>
      <c r="N111" s="82">
        <f t="shared" si="9"/>
        <v>2627</v>
      </c>
      <c r="O111" s="17"/>
      <c r="P111" s="87">
        <f t="shared" si="8"/>
        <v>393</v>
      </c>
      <c r="Q111" s="87">
        <f t="shared" si="10"/>
        <v>3020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73342</v>
      </c>
      <c r="J112" s="10"/>
      <c r="K112" s="17"/>
      <c r="L112" s="81"/>
      <c r="M112" s="17"/>
      <c r="N112" s="82">
        <f t="shared" si="9"/>
        <v>2641</v>
      </c>
      <c r="O112" s="17"/>
      <c r="P112" s="87">
        <f t="shared" si="8"/>
        <v>379</v>
      </c>
      <c r="Q112" s="87">
        <f t="shared" si="10"/>
        <v>3020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70688</v>
      </c>
      <c r="J113" s="10"/>
      <c r="K113" s="17"/>
      <c r="L113" s="81"/>
      <c r="M113" s="17"/>
      <c r="N113" s="82">
        <f t="shared" si="9"/>
        <v>2654</v>
      </c>
      <c r="O113" s="17"/>
      <c r="P113" s="87">
        <f t="shared" si="8"/>
        <v>366</v>
      </c>
      <c r="Q113" s="87">
        <f t="shared" si="10"/>
        <v>3020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68021</v>
      </c>
      <c r="J114" s="10"/>
      <c r="K114" s="17"/>
      <c r="L114" s="81"/>
      <c r="M114" s="17"/>
      <c r="N114" s="82">
        <f t="shared" si="9"/>
        <v>2667</v>
      </c>
      <c r="O114" s="17"/>
      <c r="P114" s="87">
        <f t="shared" si="8"/>
        <v>353</v>
      </c>
      <c r="Q114" s="87">
        <f t="shared" si="10"/>
        <v>3020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65341</v>
      </c>
      <c r="J115" s="10"/>
      <c r="K115" s="17"/>
      <c r="L115" s="81"/>
      <c r="M115" s="17"/>
      <c r="N115" s="82">
        <f t="shared" si="9"/>
        <v>2680</v>
      </c>
      <c r="O115" s="17"/>
      <c r="P115" s="87">
        <f t="shared" si="8"/>
        <v>340</v>
      </c>
      <c r="Q115" s="87">
        <f t="shared" si="10"/>
        <v>3020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62647</v>
      </c>
      <c r="J116" s="10"/>
      <c r="K116" s="17"/>
      <c r="L116" s="81"/>
      <c r="M116" s="17"/>
      <c r="N116" s="82">
        <f t="shared" si="9"/>
        <v>2694</v>
      </c>
      <c r="O116" s="17"/>
      <c r="P116" s="87">
        <f t="shared" si="8"/>
        <v>326</v>
      </c>
      <c r="Q116" s="87">
        <f t="shared" si="10"/>
        <v>3020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59940</v>
      </c>
      <c r="J117" s="10"/>
      <c r="K117" s="17"/>
      <c r="L117" s="81"/>
      <c r="M117" s="17"/>
      <c r="N117" s="82">
        <f t="shared" si="9"/>
        <v>2707</v>
      </c>
      <c r="O117" s="17"/>
      <c r="P117" s="87">
        <f t="shared" si="8"/>
        <v>313</v>
      </c>
      <c r="Q117" s="87">
        <f t="shared" si="10"/>
        <v>3020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57219</v>
      </c>
      <c r="J118" s="10"/>
      <c r="K118" s="17"/>
      <c r="L118" s="81"/>
      <c r="M118" s="17"/>
      <c r="N118" s="82">
        <f t="shared" si="9"/>
        <v>2721</v>
      </c>
      <c r="O118" s="17"/>
      <c r="P118" s="87">
        <f t="shared" si="8"/>
        <v>299</v>
      </c>
      <c r="Q118" s="87">
        <f t="shared" si="10"/>
        <v>3020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54485</v>
      </c>
      <c r="J119" s="10"/>
      <c r="K119" s="17"/>
      <c r="L119" s="81"/>
      <c r="M119" s="17"/>
      <c r="N119" s="82">
        <f t="shared" si="9"/>
        <v>2734</v>
      </c>
      <c r="O119" s="17"/>
      <c r="P119" s="87">
        <f t="shared" si="8"/>
        <v>286</v>
      </c>
      <c r="Q119" s="87">
        <f t="shared" si="10"/>
        <v>3020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51737</v>
      </c>
      <c r="J120" s="10"/>
      <c r="K120" s="17"/>
      <c r="L120" s="81"/>
      <c r="M120" s="17"/>
      <c r="N120" s="82">
        <f t="shared" si="9"/>
        <v>2748</v>
      </c>
      <c r="O120" s="17"/>
      <c r="P120" s="87">
        <f t="shared" si="8"/>
        <v>272</v>
      </c>
      <c r="Q120" s="87">
        <f t="shared" si="10"/>
        <v>3020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48975</v>
      </c>
      <c r="J121" s="10"/>
      <c r="K121" s="17"/>
      <c r="L121" s="81"/>
      <c r="M121" s="17"/>
      <c r="N121" s="82">
        <f t="shared" si="9"/>
        <v>2762</v>
      </c>
      <c r="O121" s="17"/>
      <c r="P121" s="87">
        <f t="shared" si="8"/>
        <v>258</v>
      </c>
      <c r="Q121" s="87">
        <f t="shared" si="10"/>
        <v>3020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46199</v>
      </c>
      <c r="J122" s="10"/>
      <c r="K122" s="17"/>
      <c r="L122" s="81"/>
      <c r="M122" s="17"/>
      <c r="N122" s="82">
        <f t="shared" si="9"/>
        <v>2776</v>
      </c>
      <c r="O122" s="17"/>
      <c r="P122" s="87">
        <f t="shared" si="8"/>
        <v>244</v>
      </c>
      <c r="Q122" s="87">
        <f t="shared" si="10"/>
        <v>3020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43409</v>
      </c>
      <c r="J123" s="10"/>
      <c r="K123" s="17"/>
      <c r="L123" s="81"/>
      <c r="M123" s="17"/>
      <c r="N123" s="82">
        <f t="shared" si="9"/>
        <v>2790</v>
      </c>
      <c r="O123" s="17"/>
      <c r="P123" s="87">
        <f t="shared" si="8"/>
        <v>230</v>
      </c>
      <c r="Q123" s="87">
        <f t="shared" si="10"/>
        <v>3020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40606</v>
      </c>
      <c r="J124" s="10"/>
      <c r="K124" s="17"/>
      <c r="L124" s="81"/>
      <c r="M124" s="17"/>
      <c r="N124" s="82">
        <f t="shared" si="9"/>
        <v>2803</v>
      </c>
      <c r="O124" s="17"/>
      <c r="P124" s="87">
        <f t="shared" si="8"/>
        <v>217</v>
      </c>
      <c r="Q124" s="87">
        <f t="shared" si="10"/>
        <v>3020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37789</v>
      </c>
      <c r="J125" s="10"/>
      <c r="K125" s="17"/>
      <c r="L125" s="81"/>
      <c r="M125" s="17"/>
      <c r="N125" s="82">
        <f t="shared" si="9"/>
        <v>2817</v>
      </c>
      <c r="O125" s="17"/>
      <c r="P125" s="87">
        <f t="shared" si="8"/>
        <v>203</v>
      </c>
      <c r="Q125" s="87">
        <f t="shared" si="10"/>
        <v>3020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34957</v>
      </c>
      <c r="J126" s="10"/>
      <c r="K126" s="17"/>
      <c r="L126" s="81"/>
      <c r="M126" s="17"/>
      <c r="N126" s="82">
        <f t="shared" si="9"/>
        <v>2832</v>
      </c>
      <c r="O126" s="17"/>
      <c r="P126" s="87">
        <f t="shared" si="8"/>
        <v>188</v>
      </c>
      <c r="Q126" s="87">
        <f t="shared" si="10"/>
        <v>3020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32111</v>
      </c>
      <c r="J127" s="10"/>
      <c r="K127" s="17"/>
      <c r="L127" s="81"/>
      <c r="M127" s="17"/>
      <c r="N127" s="82">
        <f t="shared" si="9"/>
        <v>2846</v>
      </c>
      <c r="O127" s="17"/>
      <c r="P127" s="87">
        <f t="shared" si="8"/>
        <v>174</v>
      </c>
      <c r="Q127" s="87">
        <f t="shared" si="10"/>
        <v>3020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29251</v>
      </c>
      <c r="J128" s="10"/>
      <c r="K128" s="17"/>
      <c r="L128" s="81"/>
      <c r="M128" s="17"/>
      <c r="N128" s="82">
        <f t="shared" si="9"/>
        <v>2860</v>
      </c>
      <c r="O128" s="17"/>
      <c r="P128" s="87">
        <f t="shared" si="8"/>
        <v>160</v>
      </c>
      <c r="Q128" s="87">
        <f t="shared" si="10"/>
        <v>3020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26377</v>
      </c>
      <c r="J129" s="10"/>
      <c r="K129" s="17"/>
      <c r="L129" s="81"/>
      <c r="M129" s="17"/>
      <c r="N129" s="82">
        <f t="shared" si="9"/>
        <v>2874</v>
      </c>
      <c r="O129" s="17"/>
      <c r="P129" s="87">
        <f t="shared" si="8"/>
        <v>146</v>
      </c>
      <c r="Q129" s="87">
        <f t="shared" si="10"/>
        <v>3020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23488</v>
      </c>
      <c r="J130" s="10"/>
      <c r="K130" s="17"/>
      <c r="L130" s="81"/>
      <c r="M130" s="17"/>
      <c r="N130" s="82">
        <f t="shared" si="9"/>
        <v>2889</v>
      </c>
      <c r="O130" s="17"/>
      <c r="P130" s="87">
        <f t="shared" si="8"/>
        <v>131</v>
      </c>
      <c r="Q130" s="87">
        <f t="shared" si="10"/>
        <v>3020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20585</v>
      </c>
      <c r="J131" s="10"/>
      <c r="K131" s="17"/>
      <c r="L131" s="81"/>
      <c r="M131" s="17"/>
      <c r="N131" s="82">
        <f t="shared" si="9"/>
        <v>2903</v>
      </c>
      <c r="O131" s="17"/>
      <c r="P131" s="87">
        <f t="shared" si="8"/>
        <v>117</v>
      </c>
      <c r="Q131" s="87">
        <f t="shared" si="10"/>
        <v>3020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17667</v>
      </c>
      <c r="J132" s="10"/>
      <c r="K132" s="17"/>
      <c r="L132" s="81"/>
      <c r="M132" s="17"/>
      <c r="N132" s="82">
        <f t="shared" si="9"/>
        <v>2918</v>
      </c>
      <c r="O132" s="17"/>
      <c r="P132" s="87">
        <f t="shared" si="8"/>
        <v>102</v>
      </c>
      <c r="Q132" s="87">
        <f t="shared" si="10"/>
        <v>3020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14735</v>
      </c>
      <c r="J133" s="10"/>
      <c r="K133" s="17"/>
      <c r="L133" s="81"/>
      <c r="M133" s="17"/>
      <c r="N133" s="82">
        <f t="shared" si="9"/>
        <v>2932</v>
      </c>
      <c r="O133" s="17"/>
      <c r="P133" s="87">
        <f t="shared" si="8"/>
        <v>88</v>
      </c>
      <c r="Q133" s="87">
        <f t="shared" si="10"/>
        <v>3020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11788</v>
      </c>
      <c r="J134" s="10"/>
      <c r="K134" s="17"/>
      <c r="L134" s="81"/>
      <c r="M134" s="17"/>
      <c r="N134" s="82">
        <f t="shared" si="9"/>
        <v>2947</v>
      </c>
      <c r="O134" s="17"/>
      <c r="P134" s="87">
        <f t="shared" si="8"/>
        <v>73</v>
      </c>
      <c r="Q134" s="87">
        <f t="shared" si="10"/>
        <v>3020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8826</v>
      </c>
      <c r="J135" s="10"/>
      <c r="K135" s="17"/>
      <c r="L135" s="81"/>
      <c r="M135" s="17"/>
      <c r="N135" s="82">
        <f t="shared" si="9"/>
        <v>2962</v>
      </c>
      <c r="O135" s="17"/>
      <c r="P135" s="87">
        <f t="shared" si="8"/>
        <v>58</v>
      </c>
      <c r="Q135" s="87">
        <f t="shared" si="10"/>
        <v>3020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5850</v>
      </c>
      <c r="J136" s="10"/>
      <c r="K136" s="17"/>
      <c r="L136" s="81"/>
      <c r="M136" s="17"/>
      <c r="N136" s="82">
        <f t="shared" si="9"/>
        <v>2976</v>
      </c>
      <c r="O136" s="17"/>
      <c r="P136" s="87">
        <f t="shared" si="8"/>
        <v>44</v>
      </c>
      <c r="Q136" s="87">
        <f t="shared" si="10"/>
        <v>3020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2859</v>
      </c>
      <c r="J137" s="10"/>
      <c r="K137" s="17"/>
      <c r="L137" s="81"/>
      <c r="M137" s="17"/>
      <c r="N137" s="82">
        <f t="shared" si="9"/>
        <v>2991</v>
      </c>
      <c r="O137" s="17"/>
      <c r="P137" s="87">
        <f t="shared" si="8"/>
        <v>29</v>
      </c>
      <c r="Q137" s="87">
        <f t="shared" si="10"/>
        <v>3020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2859</v>
      </c>
      <c r="O138" s="17"/>
      <c r="P138" s="87">
        <f t="shared" si="8"/>
        <v>14</v>
      </c>
      <c r="Q138" s="87">
        <f t="shared" si="10"/>
        <v>2873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271988</v>
      </c>
      <c r="O139" s="17"/>
      <c r="P139" s="83">
        <f t="shared" ref="P139:Q139" si="13">SUM(P19:P138)</f>
        <v>90265</v>
      </c>
      <c r="Q139" s="83">
        <f t="shared" si="13"/>
        <v>362253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1.2935E7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12935000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12935000</v>
      </c>
      <c r="O15" s="17"/>
      <c r="P15" s="65">
        <f t="shared" ref="P15:Q15" si="1">P139</f>
        <v>4297519</v>
      </c>
      <c r="Q15" s="66">
        <f t="shared" si="1"/>
        <v>17232519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12935000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12856070</v>
      </c>
      <c r="J19" s="10"/>
      <c r="K19" s="17"/>
      <c r="L19" s="81"/>
      <c r="M19" s="17"/>
      <c r="N19" s="82">
        <f>ROUND(($Q$19-$P$19-$L$19),0)</f>
        <v>78930</v>
      </c>
      <c r="O19" s="17"/>
      <c r="P19" s="87">
        <f t="shared" ref="P19:P138" si="8">ROUNDDOWN((I18*$I$6),0)</f>
        <v>64675</v>
      </c>
      <c r="Q19" s="87">
        <f>ROUND((-PMT($I$6,$I$7,$I$5,0,0)+L19),0)</f>
        <v>143605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12776745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79325</v>
      </c>
      <c r="O20" s="17"/>
      <c r="P20" s="87">
        <f t="shared" si="8"/>
        <v>64280</v>
      </c>
      <c r="Q20" s="87">
        <f t="shared" ref="Q20:Q138" si="10">SUM(L20:P20)</f>
        <v>143605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12697023</v>
      </c>
      <c r="J21" s="10"/>
      <c r="K21" s="17"/>
      <c r="L21" s="81"/>
      <c r="M21" s="17"/>
      <c r="N21" s="82">
        <f t="shared" si="9"/>
        <v>79722</v>
      </c>
      <c r="O21" s="17"/>
      <c r="P21" s="87">
        <f t="shared" si="8"/>
        <v>63883</v>
      </c>
      <c r="Q21" s="87">
        <f t="shared" si="10"/>
        <v>143605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12616903</v>
      </c>
      <c r="J22" s="10"/>
      <c r="K22" s="17"/>
      <c r="L22" s="81"/>
      <c r="M22" s="17"/>
      <c r="N22" s="82">
        <f t="shared" si="9"/>
        <v>80120</v>
      </c>
      <c r="O22" s="17"/>
      <c r="P22" s="87">
        <f t="shared" si="8"/>
        <v>63485</v>
      </c>
      <c r="Q22" s="87">
        <f t="shared" si="10"/>
        <v>143605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12536382</v>
      </c>
      <c r="J23" s="10"/>
      <c r="K23" s="17"/>
      <c r="L23" s="81"/>
      <c r="M23" s="17"/>
      <c r="N23" s="82">
        <f t="shared" si="9"/>
        <v>80521</v>
      </c>
      <c r="O23" s="17"/>
      <c r="P23" s="87">
        <f t="shared" si="8"/>
        <v>63084</v>
      </c>
      <c r="Q23" s="87">
        <f t="shared" si="10"/>
        <v>143605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12455458</v>
      </c>
      <c r="J24" s="10"/>
      <c r="K24" s="17"/>
      <c r="L24" s="81"/>
      <c r="M24" s="17"/>
      <c r="N24" s="82">
        <f t="shared" si="9"/>
        <v>80924</v>
      </c>
      <c r="O24" s="17"/>
      <c r="P24" s="87">
        <f t="shared" si="8"/>
        <v>62681</v>
      </c>
      <c r="Q24" s="87">
        <f t="shared" si="10"/>
        <v>143605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12374130</v>
      </c>
      <c r="J25" s="10"/>
      <c r="K25" s="17"/>
      <c r="L25" s="81"/>
      <c r="M25" s="17"/>
      <c r="N25" s="82">
        <f t="shared" si="9"/>
        <v>81328</v>
      </c>
      <c r="O25" s="17"/>
      <c r="P25" s="87">
        <f t="shared" si="8"/>
        <v>62277</v>
      </c>
      <c r="Q25" s="87">
        <f t="shared" si="10"/>
        <v>143605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12292395</v>
      </c>
      <c r="J26" s="10"/>
      <c r="K26" s="17"/>
      <c r="L26" s="81"/>
      <c r="M26" s="17"/>
      <c r="N26" s="82">
        <f t="shared" si="9"/>
        <v>81735</v>
      </c>
      <c r="O26" s="17"/>
      <c r="P26" s="87">
        <f t="shared" si="8"/>
        <v>61870</v>
      </c>
      <c r="Q26" s="87">
        <f t="shared" si="10"/>
        <v>143605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12210251</v>
      </c>
      <c r="J27" s="10"/>
      <c r="K27" s="17"/>
      <c r="L27" s="81"/>
      <c r="M27" s="17"/>
      <c r="N27" s="82">
        <f t="shared" si="9"/>
        <v>82144</v>
      </c>
      <c r="O27" s="17"/>
      <c r="P27" s="87">
        <f t="shared" si="8"/>
        <v>61461</v>
      </c>
      <c r="Q27" s="87">
        <f t="shared" si="10"/>
        <v>143605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12127697</v>
      </c>
      <c r="J28" s="10"/>
      <c r="K28" s="17"/>
      <c r="L28" s="81"/>
      <c r="M28" s="17"/>
      <c r="N28" s="82">
        <f t="shared" si="9"/>
        <v>82554</v>
      </c>
      <c r="O28" s="17"/>
      <c r="P28" s="87">
        <f t="shared" si="8"/>
        <v>61051</v>
      </c>
      <c r="Q28" s="87">
        <f t="shared" si="10"/>
        <v>143605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12044730</v>
      </c>
      <c r="J29" s="10"/>
      <c r="K29" s="17"/>
      <c r="L29" s="81"/>
      <c r="M29" s="17"/>
      <c r="N29" s="82">
        <f t="shared" si="9"/>
        <v>82967</v>
      </c>
      <c r="O29" s="17"/>
      <c r="P29" s="87">
        <f t="shared" si="8"/>
        <v>60638</v>
      </c>
      <c r="Q29" s="87">
        <f t="shared" si="10"/>
        <v>143605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11961348</v>
      </c>
      <c r="J30" s="10"/>
      <c r="K30" s="17"/>
      <c r="L30" s="81"/>
      <c r="M30" s="17"/>
      <c r="N30" s="82">
        <f t="shared" si="9"/>
        <v>83382</v>
      </c>
      <c r="O30" s="17"/>
      <c r="P30" s="87">
        <f t="shared" si="8"/>
        <v>60223</v>
      </c>
      <c r="Q30" s="87">
        <f t="shared" si="10"/>
        <v>143605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11877549</v>
      </c>
      <c r="J31" s="10"/>
      <c r="K31" s="17"/>
      <c r="L31" s="81"/>
      <c r="M31" s="17"/>
      <c r="N31" s="82">
        <f t="shared" si="9"/>
        <v>83799</v>
      </c>
      <c r="O31" s="17"/>
      <c r="P31" s="87">
        <f t="shared" si="8"/>
        <v>59806</v>
      </c>
      <c r="Q31" s="87">
        <f t="shared" si="10"/>
        <v>143605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11793331</v>
      </c>
      <c r="J32" s="10"/>
      <c r="K32" s="17"/>
      <c r="L32" s="81"/>
      <c r="M32" s="17"/>
      <c r="N32" s="82">
        <f t="shared" si="9"/>
        <v>84218</v>
      </c>
      <c r="O32" s="17"/>
      <c r="P32" s="87">
        <f t="shared" si="8"/>
        <v>59387</v>
      </c>
      <c r="Q32" s="87">
        <f t="shared" si="10"/>
        <v>143605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11708692</v>
      </c>
      <c r="J33" s="10"/>
      <c r="K33" s="17"/>
      <c r="L33" s="81"/>
      <c r="M33" s="17"/>
      <c r="N33" s="82">
        <f t="shared" si="9"/>
        <v>84639</v>
      </c>
      <c r="O33" s="17"/>
      <c r="P33" s="87">
        <f t="shared" si="8"/>
        <v>58966</v>
      </c>
      <c r="Q33" s="87">
        <f t="shared" si="10"/>
        <v>143605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11623630</v>
      </c>
      <c r="J34" s="10"/>
      <c r="K34" s="17"/>
      <c r="L34" s="81"/>
      <c r="M34" s="17"/>
      <c r="N34" s="82">
        <f t="shared" si="9"/>
        <v>85062</v>
      </c>
      <c r="O34" s="17"/>
      <c r="P34" s="87">
        <f t="shared" si="8"/>
        <v>58543</v>
      </c>
      <c r="Q34" s="87">
        <f t="shared" si="10"/>
        <v>143605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11538143</v>
      </c>
      <c r="J35" s="10"/>
      <c r="K35" s="17"/>
      <c r="L35" s="81"/>
      <c r="M35" s="17"/>
      <c r="N35" s="82">
        <f t="shared" si="9"/>
        <v>85487</v>
      </c>
      <c r="O35" s="17"/>
      <c r="P35" s="87">
        <f t="shared" si="8"/>
        <v>58118</v>
      </c>
      <c r="Q35" s="87">
        <f t="shared" si="10"/>
        <v>143605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11452228</v>
      </c>
      <c r="J36" s="10"/>
      <c r="K36" s="17"/>
      <c r="L36" s="81"/>
      <c r="M36" s="17"/>
      <c r="N36" s="82">
        <f t="shared" si="9"/>
        <v>85915</v>
      </c>
      <c r="O36" s="17"/>
      <c r="P36" s="87">
        <f t="shared" si="8"/>
        <v>57690</v>
      </c>
      <c r="Q36" s="87">
        <f t="shared" si="10"/>
        <v>143605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11365884</v>
      </c>
      <c r="J37" s="10"/>
      <c r="K37" s="17"/>
      <c r="L37" s="81"/>
      <c r="M37" s="17"/>
      <c r="N37" s="82">
        <f t="shared" si="9"/>
        <v>86344</v>
      </c>
      <c r="O37" s="17"/>
      <c r="P37" s="87">
        <f t="shared" si="8"/>
        <v>57261</v>
      </c>
      <c r="Q37" s="87">
        <f t="shared" si="10"/>
        <v>143605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11279108</v>
      </c>
      <c r="J38" s="10"/>
      <c r="K38" s="17"/>
      <c r="L38" s="81"/>
      <c r="M38" s="17"/>
      <c r="N38" s="82">
        <f t="shared" si="9"/>
        <v>86776</v>
      </c>
      <c r="O38" s="17"/>
      <c r="P38" s="87">
        <f t="shared" si="8"/>
        <v>56829</v>
      </c>
      <c r="Q38" s="87">
        <f t="shared" si="10"/>
        <v>143605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11191898</v>
      </c>
      <c r="J39" s="10"/>
      <c r="K39" s="17"/>
      <c r="L39" s="81"/>
      <c r="M39" s="17"/>
      <c r="N39" s="82">
        <f t="shared" si="9"/>
        <v>87210</v>
      </c>
      <c r="O39" s="17"/>
      <c r="P39" s="87">
        <f t="shared" si="8"/>
        <v>56395</v>
      </c>
      <c r="Q39" s="87">
        <f t="shared" si="10"/>
        <v>143605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11104252</v>
      </c>
      <c r="J40" s="10"/>
      <c r="K40" s="17"/>
      <c r="L40" s="81"/>
      <c r="M40" s="17"/>
      <c r="N40" s="82">
        <f t="shared" si="9"/>
        <v>87646</v>
      </c>
      <c r="O40" s="17"/>
      <c r="P40" s="87">
        <f t="shared" si="8"/>
        <v>55959</v>
      </c>
      <c r="Q40" s="87">
        <f t="shared" si="10"/>
        <v>143605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11016168</v>
      </c>
      <c r="J41" s="10"/>
      <c r="K41" s="17"/>
      <c r="L41" s="81"/>
      <c r="M41" s="17"/>
      <c r="N41" s="82">
        <f t="shared" si="9"/>
        <v>88084</v>
      </c>
      <c r="O41" s="17"/>
      <c r="P41" s="87">
        <f t="shared" si="8"/>
        <v>55521</v>
      </c>
      <c r="Q41" s="87">
        <f t="shared" si="10"/>
        <v>143605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10927643</v>
      </c>
      <c r="J42" s="10"/>
      <c r="K42" s="17"/>
      <c r="L42" s="81"/>
      <c r="M42" s="17"/>
      <c r="N42" s="82">
        <f t="shared" si="9"/>
        <v>88525</v>
      </c>
      <c r="O42" s="17"/>
      <c r="P42" s="87">
        <f t="shared" si="8"/>
        <v>55080</v>
      </c>
      <c r="Q42" s="87">
        <f t="shared" si="10"/>
        <v>143605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10838676</v>
      </c>
      <c r="J43" s="10"/>
      <c r="K43" s="17"/>
      <c r="L43" s="81"/>
      <c r="M43" s="17"/>
      <c r="N43" s="82">
        <f t="shared" si="9"/>
        <v>88967</v>
      </c>
      <c r="O43" s="17"/>
      <c r="P43" s="87">
        <f t="shared" si="8"/>
        <v>54638</v>
      </c>
      <c r="Q43" s="87">
        <f t="shared" si="10"/>
        <v>143605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10749264</v>
      </c>
      <c r="J44" s="10"/>
      <c r="K44" s="17"/>
      <c r="L44" s="81"/>
      <c r="M44" s="17"/>
      <c r="N44" s="82">
        <f t="shared" si="9"/>
        <v>89412</v>
      </c>
      <c r="O44" s="17"/>
      <c r="P44" s="87">
        <f t="shared" si="8"/>
        <v>54193</v>
      </c>
      <c r="Q44" s="87">
        <f t="shared" si="10"/>
        <v>143605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10659405</v>
      </c>
      <c r="J45" s="10"/>
      <c r="K45" s="17"/>
      <c r="L45" s="81"/>
      <c r="M45" s="17"/>
      <c r="N45" s="82">
        <f t="shared" si="9"/>
        <v>89859</v>
      </c>
      <c r="O45" s="17"/>
      <c r="P45" s="87">
        <f t="shared" si="8"/>
        <v>53746</v>
      </c>
      <c r="Q45" s="87">
        <f t="shared" si="10"/>
        <v>143605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10569097</v>
      </c>
      <c r="J46" s="10"/>
      <c r="K46" s="17"/>
      <c r="L46" s="81"/>
      <c r="M46" s="17"/>
      <c r="N46" s="82">
        <f t="shared" si="9"/>
        <v>90308</v>
      </c>
      <c r="O46" s="17"/>
      <c r="P46" s="87">
        <f t="shared" si="8"/>
        <v>53297</v>
      </c>
      <c r="Q46" s="87">
        <f t="shared" si="10"/>
        <v>143605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10478337</v>
      </c>
      <c r="J47" s="10"/>
      <c r="K47" s="17"/>
      <c r="L47" s="81"/>
      <c r="M47" s="17"/>
      <c r="N47" s="82">
        <f t="shared" si="9"/>
        <v>90760</v>
      </c>
      <c r="O47" s="17"/>
      <c r="P47" s="87">
        <f t="shared" si="8"/>
        <v>52845</v>
      </c>
      <c r="Q47" s="87">
        <f t="shared" si="10"/>
        <v>143605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10387123</v>
      </c>
      <c r="J48" s="10"/>
      <c r="K48" s="17"/>
      <c r="L48" s="81"/>
      <c r="M48" s="17"/>
      <c r="N48" s="82">
        <f t="shared" si="9"/>
        <v>91214</v>
      </c>
      <c r="O48" s="17"/>
      <c r="P48" s="87">
        <f t="shared" si="8"/>
        <v>52391</v>
      </c>
      <c r="Q48" s="87">
        <f t="shared" si="10"/>
        <v>143605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10295453</v>
      </c>
      <c r="J49" s="10"/>
      <c r="K49" s="17"/>
      <c r="L49" s="81"/>
      <c r="M49" s="17"/>
      <c r="N49" s="82">
        <f t="shared" si="9"/>
        <v>91670</v>
      </c>
      <c r="O49" s="17"/>
      <c r="P49" s="87">
        <f t="shared" si="8"/>
        <v>51935</v>
      </c>
      <c r="Q49" s="87">
        <f t="shared" si="10"/>
        <v>143605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10203325</v>
      </c>
      <c r="J50" s="10"/>
      <c r="K50" s="17"/>
      <c r="L50" s="81"/>
      <c r="M50" s="17"/>
      <c r="N50" s="82">
        <f t="shared" si="9"/>
        <v>92128</v>
      </c>
      <c r="O50" s="17"/>
      <c r="P50" s="87">
        <f t="shared" si="8"/>
        <v>51477</v>
      </c>
      <c r="Q50" s="87">
        <f t="shared" si="10"/>
        <v>143605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10110736</v>
      </c>
      <c r="J51" s="10"/>
      <c r="K51" s="17"/>
      <c r="L51" s="81"/>
      <c r="M51" s="17"/>
      <c r="N51" s="82">
        <f t="shared" si="9"/>
        <v>92589</v>
      </c>
      <c r="O51" s="17"/>
      <c r="P51" s="87">
        <f t="shared" si="8"/>
        <v>51016</v>
      </c>
      <c r="Q51" s="87">
        <f t="shared" si="10"/>
        <v>143605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10017684</v>
      </c>
      <c r="J52" s="10"/>
      <c r="K52" s="17"/>
      <c r="L52" s="81"/>
      <c r="M52" s="17"/>
      <c r="N52" s="82">
        <f t="shared" si="9"/>
        <v>93052</v>
      </c>
      <c r="O52" s="17"/>
      <c r="P52" s="87">
        <f t="shared" si="8"/>
        <v>50553</v>
      </c>
      <c r="Q52" s="87">
        <f t="shared" si="10"/>
        <v>143605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9924167</v>
      </c>
      <c r="J53" s="10"/>
      <c r="K53" s="17"/>
      <c r="L53" s="81"/>
      <c r="M53" s="17"/>
      <c r="N53" s="82">
        <f t="shared" si="9"/>
        <v>93517</v>
      </c>
      <c r="O53" s="17"/>
      <c r="P53" s="87">
        <f t="shared" si="8"/>
        <v>50088</v>
      </c>
      <c r="Q53" s="87">
        <f t="shared" si="10"/>
        <v>143605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9830182</v>
      </c>
      <c r="J54" s="10"/>
      <c r="K54" s="17"/>
      <c r="L54" s="81"/>
      <c r="M54" s="17"/>
      <c r="N54" s="82">
        <f t="shared" si="9"/>
        <v>93985</v>
      </c>
      <c r="O54" s="17"/>
      <c r="P54" s="87">
        <f t="shared" si="8"/>
        <v>49620</v>
      </c>
      <c r="Q54" s="87">
        <f t="shared" si="10"/>
        <v>143605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9735727</v>
      </c>
      <c r="J55" s="10"/>
      <c r="K55" s="17"/>
      <c r="L55" s="81"/>
      <c r="M55" s="17"/>
      <c r="N55" s="82">
        <f t="shared" si="9"/>
        <v>94455</v>
      </c>
      <c r="O55" s="17"/>
      <c r="P55" s="87">
        <f t="shared" si="8"/>
        <v>49150</v>
      </c>
      <c r="Q55" s="87">
        <f t="shared" si="10"/>
        <v>143605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9640800</v>
      </c>
      <c r="J56" s="10"/>
      <c r="K56" s="17"/>
      <c r="L56" s="81"/>
      <c r="M56" s="17"/>
      <c r="N56" s="82">
        <f t="shared" si="9"/>
        <v>94927</v>
      </c>
      <c r="O56" s="17"/>
      <c r="P56" s="87">
        <f t="shared" si="8"/>
        <v>48678</v>
      </c>
      <c r="Q56" s="87">
        <f t="shared" si="10"/>
        <v>143605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9545399</v>
      </c>
      <c r="J57" s="10"/>
      <c r="K57" s="17"/>
      <c r="L57" s="81"/>
      <c r="M57" s="17"/>
      <c r="N57" s="82">
        <f t="shared" si="9"/>
        <v>95401</v>
      </c>
      <c r="O57" s="17"/>
      <c r="P57" s="87">
        <f t="shared" si="8"/>
        <v>48204</v>
      </c>
      <c r="Q57" s="87">
        <f t="shared" si="10"/>
        <v>143605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9449520</v>
      </c>
      <c r="J58" s="10"/>
      <c r="K58" s="17"/>
      <c r="L58" s="81"/>
      <c r="M58" s="17"/>
      <c r="N58" s="82">
        <f t="shared" si="9"/>
        <v>95879</v>
      </c>
      <c r="O58" s="17"/>
      <c r="P58" s="87">
        <f t="shared" si="8"/>
        <v>47726</v>
      </c>
      <c r="Q58" s="87">
        <f t="shared" si="10"/>
        <v>143605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9353162</v>
      </c>
      <c r="J59" s="10"/>
      <c r="K59" s="17"/>
      <c r="L59" s="81"/>
      <c r="M59" s="17"/>
      <c r="N59" s="82">
        <f t="shared" si="9"/>
        <v>96358</v>
      </c>
      <c r="O59" s="17"/>
      <c r="P59" s="87">
        <f t="shared" si="8"/>
        <v>47247</v>
      </c>
      <c r="Q59" s="87">
        <f t="shared" si="10"/>
        <v>143605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9256322</v>
      </c>
      <c r="J60" s="10"/>
      <c r="K60" s="17"/>
      <c r="L60" s="81"/>
      <c r="M60" s="17"/>
      <c r="N60" s="82">
        <f t="shared" si="9"/>
        <v>96840</v>
      </c>
      <c r="O60" s="17"/>
      <c r="P60" s="87">
        <f t="shared" si="8"/>
        <v>46765</v>
      </c>
      <c r="Q60" s="87">
        <f t="shared" si="10"/>
        <v>143605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9158998</v>
      </c>
      <c r="J61" s="10"/>
      <c r="K61" s="17"/>
      <c r="L61" s="81"/>
      <c r="M61" s="17"/>
      <c r="N61" s="82">
        <f t="shared" si="9"/>
        <v>97324</v>
      </c>
      <c r="O61" s="17"/>
      <c r="P61" s="87">
        <f t="shared" si="8"/>
        <v>46281</v>
      </c>
      <c r="Q61" s="87">
        <f t="shared" si="10"/>
        <v>143605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9061187</v>
      </c>
      <c r="J62" s="10"/>
      <c r="K62" s="17"/>
      <c r="L62" s="81"/>
      <c r="M62" s="17"/>
      <c r="N62" s="82">
        <f t="shared" si="9"/>
        <v>97811</v>
      </c>
      <c r="O62" s="17"/>
      <c r="P62" s="87">
        <f t="shared" si="8"/>
        <v>45794</v>
      </c>
      <c r="Q62" s="87">
        <f t="shared" si="10"/>
        <v>143605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8962887</v>
      </c>
      <c r="J63" s="10"/>
      <c r="K63" s="17"/>
      <c r="L63" s="81"/>
      <c r="M63" s="17"/>
      <c r="N63" s="82">
        <f t="shared" si="9"/>
        <v>98300</v>
      </c>
      <c r="O63" s="17"/>
      <c r="P63" s="87">
        <f t="shared" si="8"/>
        <v>45305</v>
      </c>
      <c r="Q63" s="87">
        <f t="shared" si="10"/>
        <v>143605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8864096</v>
      </c>
      <c r="J64" s="10"/>
      <c r="K64" s="17"/>
      <c r="L64" s="81"/>
      <c r="M64" s="17"/>
      <c r="N64" s="82">
        <f t="shared" si="9"/>
        <v>98791</v>
      </c>
      <c r="O64" s="17"/>
      <c r="P64" s="87">
        <f t="shared" si="8"/>
        <v>44814</v>
      </c>
      <c r="Q64" s="87">
        <f t="shared" si="10"/>
        <v>143605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8764811</v>
      </c>
      <c r="J65" s="10"/>
      <c r="K65" s="17"/>
      <c r="L65" s="81"/>
      <c r="M65" s="17"/>
      <c r="N65" s="82">
        <f t="shared" si="9"/>
        <v>99285</v>
      </c>
      <c r="O65" s="17"/>
      <c r="P65" s="87">
        <f t="shared" si="8"/>
        <v>44320</v>
      </c>
      <c r="Q65" s="87">
        <f t="shared" si="10"/>
        <v>143605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8665030</v>
      </c>
      <c r="J66" s="10"/>
      <c r="K66" s="17"/>
      <c r="L66" s="81"/>
      <c r="M66" s="17"/>
      <c r="N66" s="82">
        <f t="shared" si="9"/>
        <v>99781</v>
      </c>
      <c r="O66" s="17"/>
      <c r="P66" s="87">
        <f t="shared" si="8"/>
        <v>43824</v>
      </c>
      <c r="Q66" s="87">
        <f t="shared" si="10"/>
        <v>143605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8564750</v>
      </c>
      <c r="J67" s="10"/>
      <c r="K67" s="17"/>
      <c r="L67" s="81"/>
      <c r="M67" s="17"/>
      <c r="N67" s="82">
        <f t="shared" si="9"/>
        <v>100280</v>
      </c>
      <c r="O67" s="17"/>
      <c r="P67" s="87">
        <f t="shared" si="8"/>
        <v>43325</v>
      </c>
      <c r="Q67" s="87">
        <f t="shared" si="10"/>
        <v>143605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8463968</v>
      </c>
      <c r="J68" s="10"/>
      <c r="K68" s="17"/>
      <c r="L68" s="81"/>
      <c r="M68" s="17"/>
      <c r="N68" s="82">
        <f t="shared" si="9"/>
        <v>100782</v>
      </c>
      <c r="O68" s="17"/>
      <c r="P68" s="87">
        <f t="shared" si="8"/>
        <v>42823</v>
      </c>
      <c r="Q68" s="87">
        <f t="shared" si="10"/>
        <v>143605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8362682</v>
      </c>
      <c r="J69" s="10"/>
      <c r="K69" s="17"/>
      <c r="L69" s="81"/>
      <c r="M69" s="17"/>
      <c r="N69" s="82">
        <f t="shared" si="9"/>
        <v>101286</v>
      </c>
      <c r="O69" s="17"/>
      <c r="P69" s="87">
        <f t="shared" si="8"/>
        <v>42319</v>
      </c>
      <c r="Q69" s="87">
        <f t="shared" si="10"/>
        <v>143605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8260890</v>
      </c>
      <c r="J70" s="10"/>
      <c r="K70" s="17"/>
      <c r="L70" s="90"/>
      <c r="M70" s="91"/>
      <c r="N70" s="82">
        <f t="shared" si="9"/>
        <v>101792</v>
      </c>
      <c r="O70" s="17"/>
      <c r="P70" s="87">
        <f t="shared" si="8"/>
        <v>41813</v>
      </c>
      <c r="Q70" s="87">
        <f t="shared" si="10"/>
        <v>143605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8158589</v>
      </c>
      <c r="J71" s="10"/>
      <c r="K71" s="17"/>
      <c r="L71" s="90"/>
      <c r="M71" s="91"/>
      <c r="N71" s="82">
        <f t="shared" si="9"/>
        <v>102301</v>
      </c>
      <c r="O71" s="17"/>
      <c r="P71" s="87">
        <f t="shared" si="8"/>
        <v>41304</v>
      </c>
      <c r="Q71" s="87">
        <f t="shared" si="10"/>
        <v>143605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8055776</v>
      </c>
      <c r="J72" s="10"/>
      <c r="K72" s="17"/>
      <c r="L72" s="90"/>
      <c r="M72" s="91"/>
      <c r="N72" s="82">
        <f t="shared" si="9"/>
        <v>102813</v>
      </c>
      <c r="O72" s="17"/>
      <c r="P72" s="87">
        <f t="shared" si="8"/>
        <v>40792</v>
      </c>
      <c r="Q72" s="87">
        <f t="shared" si="10"/>
        <v>143605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7952449</v>
      </c>
      <c r="J73" s="10"/>
      <c r="K73" s="17"/>
      <c r="L73" s="90"/>
      <c r="M73" s="91"/>
      <c r="N73" s="82">
        <f t="shared" si="9"/>
        <v>103327</v>
      </c>
      <c r="O73" s="17"/>
      <c r="P73" s="87">
        <f t="shared" si="8"/>
        <v>40278</v>
      </c>
      <c r="Q73" s="87">
        <f t="shared" si="10"/>
        <v>143605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7848606</v>
      </c>
      <c r="J74" s="10"/>
      <c r="K74" s="17"/>
      <c r="L74" s="90"/>
      <c r="M74" s="91"/>
      <c r="N74" s="82">
        <f t="shared" si="9"/>
        <v>103843</v>
      </c>
      <c r="O74" s="17"/>
      <c r="P74" s="87">
        <f t="shared" si="8"/>
        <v>39762</v>
      </c>
      <c r="Q74" s="87">
        <f t="shared" si="10"/>
        <v>143605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7744244</v>
      </c>
      <c r="J75" s="10"/>
      <c r="K75" s="17"/>
      <c r="L75" s="90"/>
      <c r="M75" s="91"/>
      <c r="N75" s="82">
        <f t="shared" si="9"/>
        <v>104362</v>
      </c>
      <c r="O75" s="17"/>
      <c r="P75" s="87">
        <f t="shared" si="8"/>
        <v>39243</v>
      </c>
      <c r="Q75" s="87">
        <f t="shared" si="10"/>
        <v>143605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7639360</v>
      </c>
      <c r="J76" s="10"/>
      <c r="K76" s="17"/>
      <c r="L76" s="90"/>
      <c r="M76" s="91"/>
      <c r="N76" s="82">
        <f t="shared" si="9"/>
        <v>104884</v>
      </c>
      <c r="O76" s="17"/>
      <c r="P76" s="87">
        <f t="shared" si="8"/>
        <v>38721</v>
      </c>
      <c r="Q76" s="87">
        <f t="shared" si="10"/>
        <v>143605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7533951</v>
      </c>
      <c r="J77" s="10"/>
      <c r="K77" s="17"/>
      <c r="L77" s="90"/>
      <c r="M77" s="91"/>
      <c r="N77" s="82">
        <f t="shared" si="9"/>
        <v>105409</v>
      </c>
      <c r="O77" s="17"/>
      <c r="P77" s="87">
        <f t="shared" si="8"/>
        <v>38196</v>
      </c>
      <c r="Q77" s="87">
        <f t="shared" si="10"/>
        <v>143605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7428015</v>
      </c>
      <c r="J78" s="10"/>
      <c r="K78" s="17"/>
      <c r="L78" s="81"/>
      <c r="M78" s="17"/>
      <c r="N78" s="82">
        <f t="shared" si="9"/>
        <v>105936</v>
      </c>
      <c r="O78" s="17"/>
      <c r="P78" s="87">
        <f t="shared" si="8"/>
        <v>37669</v>
      </c>
      <c r="Q78" s="87">
        <f t="shared" si="10"/>
        <v>143605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7321550</v>
      </c>
      <c r="J79" s="10"/>
      <c r="K79" s="17"/>
      <c r="L79" s="81"/>
      <c r="M79" s="17"/>
      <c r="N79" s="82">
        <f t="shared" si="9"/>
        <v>106465</v>
      </c>
      <c r="O79" s="17"/>
      <c r="P79" s="87">
        <f t="shared" si="8"/>
        <v>37140</v>
      </c>
      <c r="Q79" s="87">
        <f t="shared" si="10"/>
        <v>143605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7214552</v>
      </c>
      <c r="J80" s="10"/>
      <c r="K80" s="17"/>
      <c r="L80" s="81"/>
      <c r="M80" s="17"/>
      <c r="N80" s="82">
        <f t="shared" si="9"/>
        <v>106998</v>
      </c>
      <c r="O80" s="17"/>
      <c r="P80" s="87">
        <f t="shared" si="8"/>
        <v>36607</v>
      </c>
      <c r="Q80" s="87">
        <f t="shared" si="10"/>
        <v>143605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7107019</v>
      </c>
      <c r="J81" s="10"/>
      <c r="K81" s="17"/>
      <c r="L81" s="81"/>
      <c r="M81" s="17"/>
      <c r="N81" s="82">
        <f t="shared" si="9"/>
        <v>107533</v>
      </c>
      <c r="O81" s="17"/>
      <c r="P81" s="87">
        <f t="shared" si="8"/>
        <v>36072</v>
      </c>
      <c r="Q81" s="87">
        <f t="shared" si="10"/>
        <v>143605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6998949</v>
      </c>
      <c r="J82" s="10"/>
      <c r="K82" s="17"/>
      <c r="L82" s="81"/>
      <c r="M82" s="17"/>
      <c r="N82" s="82">
        <f t="shared" si="9"/>
        <v>108070</v>
      </c>
      <c r="O82" s="17"/>
      <c r="P82" s="87">
        <f t="shared" si="8"/>
        <v>35535</v>
      </c>
      <c r="Q82" s="87">
        <f t="shared" si="10"/>
        <v>143605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6890338</v>
      </c>
      <c r="J83" s="10"/>
      <c r="K83" s="17"/>
      <c r="L83" s="81"/>
      <c r="M83" s="17"/>
      <c r="N83" s="82">
        <f t="shared" si="9"/>
        <v>108611</v>
      </c>
      <c r="O83" s="17"/>
      <c r="P83" s="87">
        <f t="shared" si="8"/>
        <v>34994</v>
      </c>
      <c r="Q83" s="87">
        <f t="shared" si="10"/>
        <v>143605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6781184</v>
      </c>
      <c r="J84" s="10"/>
      <c r="K84" s="17"/>
      <c r="L84" s="81"/>
      <c r="M84" s="17"/>
      <c r="N84" s="82">
        <f t="shared" si="9"/>
        <v>109154</v>
      </c>
      <c r="O84" s="17"/>
      <c r="P84" s="87">
        <f t="shared" si="8"/>
        <v>34451</v>
      </c>
      <c r="Q84" s="87">
        <f t="shared" si="10"/>
        <v>143605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6671484</v>
      </c>
      <c r="J85" s="10"/>
      <c r="K85" s="17"/>
      <c r="L85" s="81"/>
      <c r="M85" s="17"/>
      <c r="N85" s="82">
        <f t="shared" si="9"/>
        <v>109700</v>
      </c>
      <c r="O85" s="17"/>
      <c r="P85" s="87">
        <f t="shared" si="8"/>
        <v>33905</v>
      </c>
      <c r="Q85" s="87">
        <f t="shared" si="10"/>
        <v>143605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6561236</v>
      </c>
      <c r="J86" s="10"/>
      <c r="K86" s="17"/>
      <c r="L86" s="81"/>
      <c r="M86" s="17"/>
      <c r="N86" s="82">
        <f t="shared" si="9"/>
        <v>110248</v>
      </c>
      <c r="O86" s="17"/>
      <c r="P86" s="87">
        <f t="shared" si="8"/>
        <v>33357</v>
      </c>
      <c r="Q86" s="87">
        <f t="shared" si="10"/>
        <v>143605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6450437</v>
      </c>
      <c r="J87" s="10"/>
      <c r="K87" s="17"/>
      <c r="L87" s="81"/>
      <c r="M87" s="17"/>
      <c r="N87" s="82">
        <f t="shared" si="9"/>
        <v>110799</v>
      </c>
      <c r="O87" s="17"/>
      <c r="P87" s="87">
        <f t="shared" si="8"/>
        <v>32806</v>
      </c>
      <c r="Q87" s="87">
        <f t="shared" si="10"/>
        <v>143605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6339084</v>
      </c>
      <c r="J88" s="10"/>
      <c r="K88" s="17"/>
      <c r="L88" s="81"/>
      <c r="M88" s="17"/>
      <c r="N88" s="82">
        <f t="shared" si="9"/>
        <v>111353</v>
      </c>
      <c r="O88" s="17"/>
      <c r="P88" s="87">
        <f t="shared" si="8"/>
        <v>32252</v>
      </c>
      <c r="Q88" s="87">
        <f t="shared" si="10"/>
        <v>143605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6227174</v>
      </c>
      <c r="J89" s="10"/>
      <c r="K89" s="17"/>
      <c r="L89" s="81"/>
      <c r="M89" s="17"/>
      <c r="N89" s="82">
        <f t="shared" si="9"/>
        <v>111910</v>
      </c>
      <c r="O89" s="17"/>
      <c r="P89" s="87">
        <f t="shared" si="8"/>
        <v>31695</v>
      </c>
      <c r="Q89" s="87">
        <f t="shared" si="10"/>
        <v>143605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6114704</v>
      </c>
      <c r="J90" s="10"/>
      <c r="K90" s="17"/>
      <c r="L90" s="81"/>
      <c r="M90" s="17"/>
      <c r="N90" s="82">
        <f t="shared" si="9"/>
        <v>112470</v>
      </c>
      <c r="O90" s="17"/>
      <c r="P90" s="87">
        <f t="shared" si="8"/>
        <v>31135</v>
      </c>
      <c r="Q90" s="87">
        <f t="shared" si="10"/>
        <v>143605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6001672</v>
      </c>
      <c r="J91" s="10"/>
      <c r="K91" s="17"/>
      <c r="L91" s="81"/>
      <c r="M91" s="17"/>
      <c r="N91" s="82">
        <f t="shared" si="9"/>
        <v>113032</v>
      </c>
      <c r="O91" s="17"/>
      <c r="P91" s="87">
        <f t="shared" si="8"/>
        <v>30573</v>
      </c>
      <c r="Q91" s="87">
        <f t="shared" si="10"/>
        <v>143605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5888075</v>
      </c>
      <c r="J92" s="10"/>
      <c r="K92" s="17"/>
      <c r="L92" s="81"/>
      <c r="M92" s="17"/>
      <c r="N92" s="82">
        <f t="shared" si="9"/>
        <v>113597</v>
      </c>
      <c r="O92" s="17"/>
      <c r="P92" s="87">
        <f t="shared" si="8"/>
        <v>30008</v>
      </c>
      <c r="Q92" s="87">
        <f t="shared" si="10"/>
        <v>143605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5773910</v>
      </c>
      <c r="J93" s="10"/>
      <c r="K93" s="17"/>
      <c r="L93" s="81"/>
      <c r="M93" s="17"/>
      <c r="N93" s="82">
        <f t="shared" si="9"/>
        <v>114165</v>
      </c>
      <c r="O93" s="17"/>
      <c r="P93" s="87">
        <f t="shared" si="8"/>
        <v>29440</v>
      </c>
      <c r="Q93" s="87">
        <f t="shared" si="10"/>
        <v>143605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5659174</v>
      </c>
      <c r="J94" s="10"/>
      <c r="K94" s="17"/>
      <c r="L94" s="81"/>
      <c r="M94" s="17"/>
      <c r="N94" s="82">
        <f t="shared" si="9"/>
        <v>114736</v>
      </c>
      <c r="O94" s="17"/>
      <c r="P94" s="87">
        <f t="shared" si="8"/>
        <v>28869</v>
      </c>
      <c r="Q94" s="87">
        <f t="shared" si="10"/>
        <v>143605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5543864</v>
      </c>
      <c r="J95" s="10"/>
      <c r="K95" s="17"/>
      <c r="L95" s="81"/>
      <c r="M95" s="17"/>
      <c r="N95" s="82">
        <f t="shared" si="9"/>
        <v>115310</v>
      </c>
      <c r="O95" s="17"/>
      <c r="P95" s="87">
        <f t="shared" si="8"/>
        <v>28295</v>
      </c>
      <c r="Q95" s="87">
        <f t="shared" si="10"/>
        <v>143605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5427978</v>
      </c>
      <c r="J96" s="10"/>
      <c r="K96" s="17"/>
      <c r="L96" s="81"/>
      <c r="M96" s="17"/>
      <c r="N96" s="82">
        <f t="shared" si="9"/>
        <v>115886</v>
      </c>
      <c r="O96" s="17"/>
      <c r="P96" s="87">
        <f t="shared" si="8"/>
        <v>27719</v>
      </c>
      <c r="Q96" s="87">
        <f t="shared" si="10"/>
        <v>143605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5311512</v>
      </c>
      <c r="J97" s="10"/>
      <c r="K97" s="17"/>
      <c r="L97" s="81"/>
      <c r="M97" s="17"/>
      <c r="N97" s="82">
        <f t="shared" si="9"/>
        <v>116466</v>
      </c>
      <c r="O97" s="17"/>
      <c r="P97" s="87">
        <f t="shared" si="8"/>
        <v>27139</v>
      </c>
      <c r="Q97" s="87">
        <f t="shared" si="10"/>
        <v>143605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5194464</v>
      </c>
      <c r="J98" s="10"/>
      <c r="K98" s="17"/>
      <c r="L98" s="81"/>
      <c r="M98" s="17"/>
      <c r="N98" s="82">
        <f t="shared" si="9"/>
        <v>117048</v>
      </c>
      <c r="O98" s="17"/>
      <c r="P98" s="87">
        <f t="shared" si="8"/>
        <v>26557</v>
      </c>
      <c r="Q98" s="87">
        <f t="shared" si="10"/>
        <v>143605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5076831</v>
      </c>
      <c r="J99" s="10"/>
      <c r="K99" s="17"/>
      <c r="L99" s="81"/>
      <c r="M99" s="17"/>
      <c r="N99" s="82">
        <f t="shared" si="9"/>
        <v>117633</v>
      </c>
      <c r="O99" s="17"/>
      <c r="P99" s="87">
        <f t="shared" si="8"/>
        <v>25972</v>
      </c>
      <c r="Q99" s="87">
        <f t="shared" si="10"/>
        <v>143605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4958610</v>
      </c>
      <c r="J100" s="10"/>
      <c r="K100" s="17"/>
      <c r="L100" s="81"/>
      <c r="M100" s="17"/>
      <c r="N100" s="82">
        <f t="shared" si="9"/>
        <v>118221</v>
      </c>
      <c r="O100" s="17"/>
      <c r="P100" s="87">
        <f t="shared" si="8"/>
        <v>25384</v>
      </c>
      <c r="Q100" s="87">
        <f t="shared" si="10"/>
        <v>143605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4839798</v>
      </c>
      <c r="J101" s="10"/>
      <c r="K101" s="17"/>
      <c r="L101" s="81"/>
      <c r="M101" s="17"/>
      <c r="N101" s="82">
        <f t="shared" si="9"/>
        <v>118812</v>
      </c>
      <c r="O101" s="17"/>
      <c r="P101" s="87">
        <f t="shared" si="8"/>
        <v>24793</v>
      </c>
      <c r="Q101" s="87">
        <f t="shared" si="10"/>
        <v>143605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4720391</v>
      </c>
      <c r="J102" s="10"/>
      <c r="K102" s="17"/>
      <c r="L102" s="81"/>
      <c r="M102" s="17"/>
      <c r="N102" s="82">
        <f t="shared" si="9"/>
        <v>119407</v>
      </c>
      <c r="O102" s="17"/>
      <c r="P102" s="87">
        <f t="shared" si="8"/>
        <v>24198</v>
      </c>
      <c r="Q102" s="87">
        <f t="shared" si="10"/>
        <v>143605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4600387</v>
      </c>
      <c r="J103" s="10"/>
      <c r="K103" s="17"/>
      <c r="L103" s="81"/>
      <c r="M103" s="17"/>
      <c r="N103" s="82">
        <f t="shared" si="9"/>
        <v>120004</v>
      </c>
      <c r="O103" s="17"/>
      <c r="P103" s="87">
        <f t="shared" si="8"/>
        <v>23601</v>
      </c>
      <c r="Q103" s="87">
        <f t="shared" si="10"/>
        <v>143605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4479783</v>
      </c>
      <c r="J104" s="10"/>
      <c r="K104" s="17"/>
      <c r="L104" s="81"/>
      <c r="M104" s="17"/>
      <c r="N104" s="82">
        <f t="shared" si="9"/>
        <v>120604</v>
      </c>
      <c r="O104" s="17"/>
      <c r="P104" s="87">
        <f t="shared" si="8"/>
        <v>23001</v>
      </c>
      <c r="Q104" s="87">
        <f t="shared" si="10"/>
        <v>143605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4358576</v>
      </c>
      <c r="J105" s="10"/>
      <c r="K105" s="17"/>
      <c r="L105" s="81"/>
      <c r="M105" s="17"/>
      <c r="N105" s="82">
        <f t="shared" si="9"/>
        <v>121207</v>
      </c>
      <c r="O105" s="17"/>
      <c r="P105" s="87">
        <f t="shared" si="8"/>
        <v>22398</v>
      </c>
      <c r="Q105" s="87">
        <f t="shared" si="10"/>
        <v>143605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4236763</v>
      </c>
      <c r="J106" s="10"/>
      <c r="K106" s="17"/>
      <c r="L106" s="81"/>
      <c r="M106" s="17"/>
      <c r="N106" s="82">
        <f t="shared" si="9"/>
        <v>121813</v>
      </c>
      <c r="O106" s="17"/>
      <c r="P106" s="87">
        <f t="shared" si="8"/>
        <v>21792</v>
      </c>
      <c r="Q106" s="87">
        <f t="shared" si="10"/>
        <v>143605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4114341</v>
      </c>
      <c r="J107" s="10"/>
      <c r="K107" s="17"/>
      <c r="L107" s="81"/>
      <c r="M107" s="17"/>
      <c r="N107" s="82">
        <f t="shared" si="9"/>
        <v>122422</v>
      </c>
      <c r="O107" s="17"/>
      <c r="P107" s="87">
        <f t="shared" si="8"/>
        <v>21183</v>
      </c>
      <c r="Q107" s="87">
        <f t="shared" si="10"/>
        <v>143605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3991307</v>
      </c>
      <c r="J108" s="10"/>
      <c r="K108" s="17"/>
      <c r="L108" s="81"/>
      <c r="M108" s="17"/>
      <c r="N108" s="82">
        <f t="shared" si="9"/>
        <v>123034</v>
      </c>
      <c r="O108" s="17"/>
      <c r="P108" s="87">
        <f t="shared" si="8"/>
        <v>20571</v>
      </c>
      <c r="Q108" s="87">
        <f t="shared" si="10"/>
        <v>143605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3867658</v>
      </c>
      <c r="J109" s="10"/>
      <c r="K109" s="17"/>
      <c r="L109" s="81"/>
      <c r="M109" s="17"/>
      <c r="N109" s="82">
        <f t="shared" si="9"/>
        <v>123649</v>
      </c>
      <c r="O109" s="17"/>
      <c r="P109" s="87">
        <f t="shared" si="8"/>
        <v>19956</v>
      </c>
      <c r="Q109" s="87">
        <f t="shared" si="10"/>
        <v>143605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3743391</v>
      </c>
      <c r="J110" s="10"/>
      <c r="K110" s="17"/>
      <c r="L110" s="81"/>
      <c r="M110" s="17"/>
      <c r="N110" s="82">
        <f t="shared" si="9"/>
        <v>124267</v>
      </c>
      <c r="O110" s="17"/>
      <c r="P110" s="87">
        <f t="shared" si="8"/>
        <v>19338</v>
      </c>
      <c r="Q110" s="87">
        <f t="shared" si="10"/>
        <v>143605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3618502</v>
      </c>
      <c r="J111" s="10"/>
      <c r="K111" s="17"/>
      <c r="L111" s="81"/>
      <c r="M111" s="17"/>
      <c r="N111" s="82">
        <f t="shared" si="9"/>
        <v>124889</v>
      </c>
      <c r="O111" s="17"/>
      <c r="P111" s="87">
        <f t="shared" si="8"/>
        <v>18716</v>
      </c>
      <c r="Q111" s="87">
        <f t="shared" si="10"/>
        <v>143605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3492989</v>
      </c>
      <c r="J112" s="10"/>
      <c r="K112" s="17"/>
      <c r="L112" s="81"/>
      <c r="M112" s="17"/>
      <c r="N112" s="82">
        <f t="shared" si="9"/>
        <v>125513</v>
      </c>
      <c r="O112" s="17"/>
      <c r="P112" s="87">
        <f t="shared" si="8"/>
        <v>18092</v>
      </c>
      <c r="Q112" s="87">
        <f t="shared" si="10"/>
        <v>143605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3366848</v>
      </c>
      <c r="J113" s="10"/>
      <c r="K113" s="17"/>
      <c r="L113" s="81"/>
      <c r="M113" s="17"/>
      <c r="N113" s="82">
        <f t="shared" si="9"/>
        <v>126141</v>
      </c>
      <c r="O113" s="17"/>
      <c r="P113" s="87">
        <f t="shared" si="8"/>
        <v>17464</v>
      </c>
      <c r="Q113" s="87">
        <f t="shared" si="10"/>
        <v>143605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3240077</v>
      </c>
      <c r="J114" s="10"/>
      <c r="K114" s="17"/>
      <c r="L114" s="81"/>
      <c r="M114" s="17"/>
      <c r="N114" s="82">
        <f t="shared" si="9"/>
        <v>126771</v>
      </c>
      <c r="O114" s="17"/>
      <c r="P114" s="87">
        <f t="shared" si="8"/>
        <v>16834</v>
      </c>
      <c r="Q114" s="87">
        <f t="shared" si="10"/>
        <v>143605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3112672</v>
      </c>
      <c r="J115" s="10"/>
      <c r="K115" s="17"/>
      <c r="L115" s="81"/>
      <c r="M115" s="17"/>
      <c r="N115" s="82">
        <f t="shared" si="9"/>
        <v>127405</v>
      </c>
      <c r="O115" s="17"/>
      <c r="P115" s="87">
        <f t="shared" si="8"/>
        <v>16200</v>
      </c>
      <c r="Q115" s="87">
        <f t="shared" si="10"/>
        <v>143605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2984630</v>
      </c>
      <c r="J116" s="10"/>
      <c r="K116" s="17"/>
      <c r="L116" s="81"/>
      <c r="M116" s="17"/>
      <c r="N116" s="82">
        <f t="shared" si="9"/>
        <v>128042</v>
      </c>
      <c r="O116" s="17"/>
      <c r="P116" s="87">
        <f t="shared" si="8"/>
        <v>15563</v>
      </c>
      <c r="Q116" s="87">
        <f t="shared" si="10"/>
        <v>143605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2855948</v>
      </c>
      <c r="J117" s="10"/>
      <c r="K117" s="17"/>
      <c r="L117" s="81"/>
      <c r="M117" s="17"/>
      <c r="N117" s="82">
        <f t="shared" si="9"/>
        <v>128682</v>
      </c>
      <c r="O117" s="17"/>
      <c r="P117" s="87">
        <f t="shared" si="8"/>
        <v>14923</v>
      </c>
      <c r="Q117" s="87">
        <f t="shared" si="10"/>
        <v>143605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2726622</v>
      </c>
      <c r="J118" s="10"/>
      <c r="K118" s="17"/>
      <c r="L118" s="81"/>
      <c r="M118" s="17"/>
      <c r="N118" s="82">
        <f t="shared" si="9"/>
        <v>129326</v>
      </c>
      <c r="O118" s="17"/>
      <c r="P118" s="87">
        <f t="shared" si="8"/>
        <v>14279</v>
      </c>
      <c r="Q118" s="87">
        <f t="shared" si="10"/>
        <v>143605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2596650</v>
      </c>
      <c r="J119" s="10"/>
      <c r="K119" s="17"/>
      <c r="L119" s="81"/>
      <c r="M119" s="17"/>
      <c r="N119" s="82">
        <f t="shared" si="9"/>
        <v>129972</v>
      </c>
      <c r="O119" s="17"/>
      <c r="P119" s="87">
        <f t="shared" si="8"/>
        <v>13633</v>
      </c>
      <c r="Q119" s="87">
        <f t="shared" si="10"/>
        <v>143605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2466028</v>
      </c>
      <c r="J120" s="10"/>
      <c r="K120" s="17"/>
      <c r="L120" s="81"/>
      <c r="M120" s="17"/>
      <c r="N120" s="82">
        <f t="shared" si="9"/>
        <v>130622</v>
      </c>
      <c r="O120" s="17"/>
      <c r="P120" s="87">
        <f t="shared" si="8"/>
        <v>12983</v>
      </c>
      <c r="Q120" s="87">
        <f t="shared" si="10"/>
        <v>143605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2334753</v>
      </c>
      <c r="J121" s="10"/>
      <c r="K121" s="17"/>
      <c r="L121" s="81"/>
      <c r="M121" s="17"/>
      <c r="N121" s="82">
        <f t="shared" si="9"/>
        <v>131275</v>
      </c>
      <c r="O121" s="17"/>
      <c r="P121" s="87">
        <f t="shared" si="8"/>
        <v>12330</v>
      </c>
      <c r="Q121" s="87">
        <f t="shared" si="10"/>
        <v>143605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2202821</v>
      </c>
      <c r="J122" s="10"/>
      <c r="K122" s="17"/>
      <c r="L122" s="81"/>
      <c r="M122" s="17"/>
      <c r="N122" s="82">
        <f t="shared" si="9"/>
        <v>131932</v>
      </c>
      <c r="O122" s="17"/>
      <c r="P122" s="87">
        <f t="shared" si="8"/>
        <v>11673</v>
      </c>
      <c r="Q122" s="87">
        <f t="shared" si="10"/>
        <v>143605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2070230</v>
      </c>
      <c r="J123" s="10"/>
      <c r="K123" s="17"/>
      <c r="L123" s="81"/>
      <c r="M123" s="17"/>
      <c r="N123" s="82">
        <f t="shared" si="9"/>
        <v>132591</v>
      </c>
      <c r="O123" s="17"/>
      <c r="P123" s="87">
        <f t="shared" si="8"/>
        <v>11014</v>
      </c>
      <c r="Q123" s="87">
        <f t="shared" si="10"/>
        <v>143605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1936976</v>
      </c>
      <c r="J124" s="10"/>
      <c r="K124" s="17"/>
      <c r="L124" s="81"/>
      <c r="M124" s="17"/>
      <c r="N124" s="82">
        <f t="shared" si="9"/>
        <v>133254</v>
      </c>
      <c r="O124" s="17"/>
      <c r="P124" s="87">
        <f t="shared" si="8"/>
        <v>10351</v>
      </c>
      <c r="Q124" s="87">
        <f t="shared" si="10"/>
        <v>143605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1803055</v>
      </c>
      <c r="J125" s="10"/>
      <c r="K125" s="17"/>
      <c r="L125" s="81"/>
      <c r="M125" s="17"/>
      <c r="N125" s="82">
        <f t="shared" si="9"/>
        <v>133921</v>
      </c>
      <c r="O125" s="17"/>
      <c r="P125" s="87">
        <f t="shared" si="8"/>
        <v>9684</v>
      </c>
      <c r="Q125" s="87">
        <f t="shared" si="10"/>
        <v>143605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1668465</v>
      </c>
      <c r="J126" s="10"/>
      <c r="K126" s="17"/>
      <c r="L126" s="81"/>
      <c r="M126" s="17"/>
      <c r="N126" s="82">
        <f t="shared" si="9"/>
        <v>134590</v>
      </c>
      <c r="O126" s="17"/>
      <c r="P126" s="87">
        <f t="shared" si="8"/>
        <v>9015</v>
      </c>
      <c r="Q126" s="87">
        <f t="shared" si="10"/>
        <v>143605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1533202</v>
      </c>
      <c r="J127" s="10"/>
      <c r="K127" s="17"/>
      <c r="L127" s="81"/>
      <c r="M127" s="17"/>
      <c r="N127" s="82">
        <f t="shared" si="9"/>
        <v>135263</v>
      </c>
      <c r="O127" s="17"/>
      <c r="P127" s="87">
        <f t="shared" si="8"/>
        <v>8342</v>
      </c>
      <c r="Q127" s="87">
        <f t="shared" si="10"/>
        <v>143605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1397263</v>
      </c>
      <c r="J128" s="10"/>
      <c r="K128" s="17"/>
      <c r="L128" s="81"/>
      <c r="M128" s="17"/>
      <c r="N128" s="82">
        <f t="shared" si="9"/>
        <v>135939</v>
      </c>
      <c r="O128" s="17"/>
      <c r="P128" s="87">
        <f t="shared" si="8"/>
        <v>7666</v>
      </c>
      <c r="Q128" s="87">
        <f t="shared" si="10"/>
        <v>143605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1260644</v>
      </c>
      <c r="J129" s="10"/>
      <c r="K129" s="17"/>
      <c r="L129" s="81"/>
      <c r="M129" s="17"/>
      <c r="N129" s="82">
        <f t="shared" si="9"/>
        <v>136619</v>
      </c>
      <c r="O129" s="17"/>
      <c r="P129" s="87">
        <f t="shared" si="8"/>
        <v>6986</v>
      </c>
      <c r="Q129" s="87">
        <f t="shared" si="10"/>
        <v>143605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1123342</v>
      </c>
      <c r="J130" s="10"/>
      <c r="K130" s="17"/>
      <c r="L130" s="81"/>
      <c r="M130" s="17"/>
      <c r="N130" s="82">
        <f t="shared" si="9"/>
        <v>137302</v>
      </c>
      <c r="O130" s="17"/>
      <c r="P130" s="87">
        <f t="shared" si="8"/>
        <v>6303</v>
      </c>
      <c r="Q130" s="87">
        <f t="shared" si="10"/>
        <v>143605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985353</v>
      </c>
      <c r="J131" s="10"/>
      <c r="K131" s="17"/>
      <c r="L131" s="81"/>
      <c r="M131" s="17"/>
      <c r="N131" s="82">
        <f t="shared" si="9"/>
        <v>137989</v>
      </c>
      <c r="O131" s="17"/>
      <c r="P131" s="87">
        <f t="shared" si="8"/>
        <v>5616</v>
      </c>
      <c r="Q131" s="87">
        <f t="shared" si="10"/>
        <v>143605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846674</v>
      </c>
      <c r="J132" s="10"/>
      <c r="K132" s="17"/>
      <c r="L132" s="81"/>
      <c r="M132" s="17"/>
      <c r="N132" s="82">
        <f t="shared" si="9"/>
        <v>138679</v>
      </c>
      <c r="O132" s="17"/>
      <c r="P132" s="87">
        <f t="shared" si="8"/>
        <v>4926</v>
      </c>
      <c r="Q132" s="87">
        <f t="shared" si="10"/>
        <v>143605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707302</v>
      </c>
      <c r="J133" s="10"/>
      <c r="K133" s="17"/>
      <c r="L133" s="81"/>
      <c r="M133" s="17"/>
      <c r="N133" s="82">
        <f t="shared" si="9"/>
        <v>139372</v>
      </c>
      <c r="O133" s="17"/>
      <c r="P133" s="87">
        <f t="shared" si="8"/>
        <v>4233</v>
      </c>
      <c r="Q133" s="87">
        <f t="shared" si="10"/>
        <v>143605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567233</v>
      </c>
      <c r="J134" s="10"/>
      <c r="K134" s="17"/>
      <c r="L134" s="81"/>
      <c r="M134" s="17"/>
      <c r="N134" s="82">
        <f t="shared" si="9"/>
        <v>140069</v>
      </c>
      <c r="O134" s="17"/>
      <c r="P134" s="87">
        <f t="shared" si="8"/>
        <v>3536</v>
      </c>
      <c r="Q134" s="87">
        <f t="shared" si="10"/>
        <v>143605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426464</v>
      </c>
      <c r="J135" s="10"/>
      <c r="K135" s="17"/>
      <c r="L135" s="81"/>
      <c r="M135" s="17"/>
      <c r="N135" s="82">
        <f t="shared" si="9"/>
        <v>140769</v>
      </c>
      <c r="O135" s="17"/>
      <c r="P135" s="87">
        <f t="shared" si="8"/>
        <v>2836</v>
      </c>
      <c r="Q135" s="87">
        <f t="shared" si="10"/>
        <v>143605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284991</v>
      </c>
      <c r="J136" s="10"/>
      <c r="K136" s="17"/>
      <c r="L136" s="81"/>
      <c r="M136" s="17"/>
      <c r="N136" s="82">
        <f t="shared" si="9"/>
        <v>141473</v>
      </c>
      <c r="O136" s="17"/>
      <c r="P136" s="87">
        <f t="shared" si="8"/>
        <v>2132</v>
      </c>
      <c r="Q136" s="87">
        <f t="shared" si="10"/>
        <v>143605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142810</v>
      </c>
      <c r="J137" s="10"/>
      <c r="K137" s="17"/>
      <c r="L137" s="81"/>
      <c r="M137" s="17"/>
      <c r="N137" s="82">
        <f t="shared" si="9"/>
        <v>142181</v>
      </c>
      <c r="O137" s="17"/>
      <c r="P137" s="87">
        <f t="shared" si="8"/>
        <v>1424</v>
      </c>
      <c r="Q137" s="87">
        <f t="shared" si="10"/>
        <v>143605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142810</v>
      </c>
      <c r="O138" s="17"/>
      <c r="P138" s="87">
        <f t="shared" si="8"/>
        <v>714</v>
      </c>
      <c r="Q138" s="87">
        <f t="shared" si="10"/>
        <v>143524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12935000</v>
      </c>
      <c r="O139" s="17"/>
      <c r="P139" s="83">
        <f t="shared" ref="P139:Q139" si="13">SUM(P19:P138)</f>
        <v>4297519</v>
      </c>
      <c r="Q139" s="83">
        <f t="shared" si="13"/>
        <v>17232519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3.865996E7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38659960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38659960</v>
      </c>
      <c r="O15" s="17"/>
      <c r="P15" s="65">
        <f t="shared" ref="P15:Q15" si="1">P139</f>
        <v>12844531</v>
      </c>
      <c r="Q15" s="66">
        <f t="shared" si="1"/>
        <v>51504491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38659960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38424054</v>
      </c>
      <c r="J19" s="10"/>
      <c r="K19" s="17"/>
      <c r="L19" s="81"/>
      <c r="M19" s="17"/>
      <c r="N19" s="82">
        <f>ROUND(($Q$19-$P$19-$L$19),0)</f>
        <v>235906</v>
      </c>
      <c r="O19" s="17"/>
      <c r="P19" s="87">
        <f t="shared" ref="P19:P138" si="8">ROUNDDOWN((I18*$I$6),0)</f>
        <v>193299</v>
      </c>
      <c r="Q19" s="87">
        <f>ROUND((-PMT($I$6,$I$7,$I$5,0,0)+L19),0)</f>
        <v>429205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38186969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237085</v>
      </c>
      <c r="O20" s="17"/>
      <c r="P20" s="87">
        <f t="shared" si="8"/>
        <v>192120</v>
      </c>
      <c r="Q20" s="87">
        <f t="shared" ref="Q20:Q138" si="10">SUM(L20:P20)</f>
        <v>429205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37948698</v>
      </c>
      <c r="J21" s="10"/>
      <c r="K21" s="17"/>
      <c r="L21" s="81"/>
      <c r="M21" s="17"/>
      <c r="N21" s="82">
        <f t="shared" si="9"/>
        <v>238271</v>
      </c>
      <c r="O21" s="17"/>
      <c r="P21" s="87">
        <f t="shared" si="8"/>
        <v>190934</v>
      </c>
      <c r="Q21" s="87">
        <f t="shared" si="10"/>
        <v>429205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37709236</v>
      </c>
      <c r="J22" s="10"/>
      <c r="K22" s="17"/>
      <c r="L22" s="81"/>
      <c r="M22" s="17"/>
      <c r="N22" s="82">
        <f t="shared" si="9"/>
        <v>239462</v>
      </c>
      <c r="O22" s="17"/>
      <c r="P22" s="87">
        <f t="shared" si="8"/>
        <v>189743</v>
      </c>
      <c r="Q22" s="87">
        <f t="shared" si="10"/>
        <v>429205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37468577</v>
      </c>
      <c r="J23" s="10"/>
      <c r="K23" s="17"/>
      <c r="L23" s="81"/>
      <c r="M23" s="17"/>
      <c r="N23" s="82">
        <f t="shared" si="9"/>
        <v>240659</v>
      </c>
      <c r="O23" s="17"/>
      <c r="P23" s="87">
        <f t="shared" si="8"/>
        <v>188546</v>
      </c>
      <c r="Q23" s="87">
        <f t="shared" si="10"/>
        <v>429205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37226714</v>
      </c>
      <c r="J24" s="10"/>
      <c r="K24" s="17"/>
      <c r="L24" s="81"/>
      <c r="M24" s="17"/>
      <c r="N24" s="82">
        <f t="shared" si="9"/>
        <v>241863</v>
      </c>
      <c r="O24" s="17"/>
      <c r="P24" s="87">
        <f t="shared" si="8"/>
        <v>187342</v>
      </c>
      <c r="Q24" s="87">
        <f t="shared" si="10"/>
        <v>429205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36983642</v>
      </c>
      <c r="J25" s="10"/>
      <c r="K25" s="17"/>
      <c r="L25" s="81"/>
      <c r="M25" s="17"/>
      <c r="N25" s="82">
        <f t="shared" si="9"/>
        <v>243072</v>
      </c>
      <c r="O25" s="17"/>
      <c r="P25" s="87">
        <f t="shared" si="8"/>
        <v>186133</v>
      </c>
      <c r="Q25" s="87">
        <f t="shared" si="10"/>
        <v>429205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36739355</v>
      </c>
      <c r="J26" s="10"/>
      <c r="K26" s="17"/>
      <c r="L26" s="81"/>
      <c r="M26" s="17"/>
      <c r="N26" s="82">
        <f t="shared" si="9"/>
        <v>244287</v>
      </c>
      <c r="O26" s="17"/>
      <c r="P26" s="87">
        <f t="shared" si="8"/>
        <v>184918</v>
      </c>
      <c r="Q26" s="87">
        <f t="shared" si="10"/>
        <v>429205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36493846</v>
      </c>
      <c r="J27" s="10"/>
      <c r="K27" s="17"/>
      <c r="L27" s="81"/>
      <c r="M27" s="17"/>
      <c r="N27" s="82">
        <f t="shared" si="9"/>
        <v>245509</v>
      </c>
      <c r="O27" s="17"/>
      <c r="P27" s="87">
        <f t="shared" si="8"/>
        <v>183696</v>
      </c>
      <c r="Q27" s="87">
        <f t="shared" si="10"/>
        <v>429205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36247110</v>
      </c>
      <c r="J28" s="10"/>
      <c r="K28" s="17"/>
      <c r="L28" s="81"/>
      <c r="M28" s="17"/>
      <c r="N28" s="82">
        <f t="shared" si="9"/>
        <v>246736</v>
      </c>
      <c r="O28" s="17"/>
      <c r="P28" s="87">
        <f t="shared" si="8"/>
        <v>182469</v>
      </c>
      <c r="Q28" s="87">
        <f t="shared" si="10"/>
        <v>429205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35999140</v>
      </c>
      <c r="J29" s="10"/>
      <c r="K29" s="17"/>
      <c r="L29" s="81"/>
      <c r="M29" s="17"/>
      <c r="N29" s="82">
        <f t="shared" si="9"/>
        <v>247970</v>
      </c>
      <c r="O29" s="17"/>
      <c r="P29" s="87">
        <f t="shared" si="8"/>
        <v>181235</v>
      </c>
      <c r="Q29" s="87">
        <f t="shared" si="10"/>
        <v>429205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35749930</v>
      </c>
      <c r="J30" s="10"/>
      <c r="K30" s="17"/>
      <c r="L30" s="81"/>
      <c r="M30" s="17"/>
      <c r="N30" s="82">
        <f t="shared" si="9"/>
        <v>249210</v>
      </c>
      <c r="O30" s="17"/>
      <c r="P30" s="87">
        <f t="shared" si="8"/>
        <v>179995</v>
      </c>
      <c r="Q30" s="87">
        <f t="shared" si="10"/>
        <v>429205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35499474</v>
      </c>
      <c r="J31" s="10"/>
      <c r="K31" s="17"/>
      <c r="L31" s="81"/>
      <c r="M31" s="17"/>
      <c r="N31" s="82">
        <f t="shared" si="9"/>
        <v>250456</v>
      </c>
      <c r="O31" s="17"/>
      <c r="P31" s="87">
        <f t="shared" si="8"/>
        <v>178749</v>
      </c>
      <c r="Q31" s="87">
        <f t="shared" si="10"/>
        <v>429205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35247766</v>
      </c>
      <c r="J32" s="10"/>
      <c r="K32" s="17"/>
      <c r="L32" s="81"/>
      <c r="M32" s="17"/>
      <c r="N32" s="82">
        <f t="shared" si="9"/>
        <v>251708</v>
      </c>
      <c r="O32" s="17"/>
      <c r="P32" s="87">
        <f t="shared" si="8"/>
        <v>177497</v>
      </c>
      <c r="Q32" s="87">
        <f t="shared" si="10"/>
        <v>429205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34994799</v>
      </c>
      <c r="J33" s="10"/>
      <c r="K33" s="17"/>
      <c r="L33" s="81"/>
      <c r="M33" s="17"/>
      <c r="N33" s="82">
        <f t="shared" si="9"/>
        <v>252967</v>
      </c>
      <c r="O33" s="17"/>
      <c r="P33" s="87">
        <f t="shared" si="8"/>
        <v>176238</v>
      </c>
      <c r="Q33" s="87">
        <f t="shared" si="10"/>
        <v>429205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34740567</v>
      </c>
      <c r="J34" s="10"/>
      <c r="K34" s="17"/>
      <c r="L34" s="81"/>
      <c r="M34" s="17"/>
      <c r="N34" s="82">
        <f t="shared" si="9"/>
        <v>254232</v>
      </c>
      <c r="O34" s="17"/>
      <c r="P34" s="87">
        <f t="shared" si="8"/>
        <v>174973</v>
      </c>
      <c r="Q34" s="87">
        <f t="shared" si="10"/>
        <v>429205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34485064</v>
      </c>
      <c r="J35" s="10"/>
      <c r="K35" s="17"/>
      <c r="L35" s="81"/>
      <c r="M35" s="17"/>
      <c r="N35" s="82">
        <f t="shared" si="9"/>
        <v>255503</v>
      </c>
      <c r="O35" s="17"/>
      <c r="P35" s="87">
        <f t="shared" si="8"/>
        <v>173702</v>
      </c>
      <c r="Q35" s="87">
        <f t="shared" si="10"/>
        <v>429205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34228284</v>
      </c>
      <c r="J36" s="10"/>
      <c r="K36" s="17"/>
      <c r="L36" s="81"/>
      <c r="M36" s="17"/>
      <c r="N36" s="82">
        <f t="shared" si="9"/>
        <v>256780</v>
      </c>
      <c r="O36" s="17"/>
      <c r="P36" s="87">
        <f t="shared" si="8"/>
        <v>172425</v>
      </c>
      <c r="Q36" s="87">
        <f t="shared" si="10"/>
        <v>429205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33970220</v>
      </c>
      <c r="J37" s="10"/>
      <c r="K37" s="17"/>
      <c r="L37" s="81"/>
      <c r="M37" s="17"/>
      <c r="N37" s="82">
        <f t="shared" si="9"/>
        <v>258064</v>
      </c>
      <c r="O37" s="17"/>
      <c r="P37" s="87">
        <f t="shared" si="8"/>
        <v>171141</v>
      </c>
      <c r="Q37" s="87">
        <f t="shared" si="10"/>
        <v>429205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33710866</v>
      </c>
      <c r="J38" s="10"/>
      <c r="K38" s="17"/>
      <c r="L38" s="81"/>
      <c r="M38" s="17"/>
      <c r="N38" s="82">
        <f t="shared" si="9"/>
        <v>259354</v>
      </c>
      <c r="O38" s="17"/>
      <c r="P38" s="87">
        <f t="shared" si="8"/>
        <v>169851</v>
      </c>
      <c r="Q38" s="87">
        <f t="shared" si="10"/>
        <v>429205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33450215</v>
      </c>
      <c r="J39" s="10"/>
      <c r="K39" s="17"/>
      <c r="L39" s="81"/>
      <c r="M39" s="17"/>
      <c r="N39" s="82">
        <f t="shared" si="9"/>
        <v>260651</v>
      </c>
      <c r="O39" s="17"/>
      <c r="P39" s="87">
        <f t="shared" si="8"/>
        <v>168554</v>
      </c>
      <c r="Q39" s="87">
        <f t="shared" si="10"/>
        <v>429205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33188261</v>
      </c>
      <c r="J40" s="10"/>
      <c r="K40" s="17"/>
      <c r="L40" s="81"/>
      <c r="M40" s="17"/>
      <c r="N40" s="82">
        <f t="shared" si="9"/>
        <v>261954</v>
      </c>
      <c r="O40" s="17"/>
      <c r="P40" s="87">
        <f t="shared" si="8"/>
        <v>167251</v>
      </c>
      <c r="Q40" s="87">
        <f t="shared" si="10"/>
        <v>429205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32924997</v>
      </c>
      <c r="J41" s="10"/>
      <c r="K41" s="17"/>
      <c r="L41" s="81"/>
      <c r="M41" s="17"/>
      <c r="N41" s="82">
        <f t="shared" si="9"/>
        <v>263264</v>
      </c>
      <c r="O41" s="17"/>
      <c r="P41" s="87">
        <f t="shared" si="8"/>
        <v>165941</v>
      </c>
      <c r="Q41" s="87">
        <f t="shared" si="10"/>
        <v>429205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32660416</v>
      </c>
      <c r="J42" s="10"/>
      <c r="K42" s="17"/>
      <c r="L42" s="81"/>
      <c r="M42" s="17"/>
      <c r="N42" s="82">
        <f t="shared" si="9"/>
        <v>264581</v>
      </c>
      <c r="O42" s="17"/>
      <c r="P42" s="87">
        <f t="shared" si="8"/>
        <v>164624</v>
      </c>
      <c r="Q42" s="87">
        <f t="shared" si="10"/>
        <v>429205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32394513</v>
      </c>
      <c r="J43" s="10"/>
      <c r="K43" s="17"/>
      <c r="L43" s="81"/>
      <c r="M43" s="17"/>
      <c r="N43" s="82">
        <f t="shared" si="9"/>
        <v>265903</v>
      </c>
      <c r="O43" s="17"/>
      <c r="P43" s="87">
        <f t="shared" si="8"/>
        <v>163302</v>
      </c>
      <c r="Q43" s="87">
        <f t="shared" si="10"/>
        <v>429205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32127280</v>
      </c>
      <c r="J44" s="10"/>
      <c r="K44" s="17"/>
      <c r="L44" s="81"/>
      <c r="M44" s="17"/>
      <c r="N44" s="82">
        <f t="shared" si="9"/>
        <v>267233</v>
      </c>
      <c r="O44" s="17"/>
      <c r="P44" s="87">
        <f t="shared" si="8"/>
        <v>161972</v>
      </c>
      <c r="Q44" s="87">
        <f t="shared" si="10"/>
        <v>429205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31858711</v>
      </c>
      <c r="J45" s="10"/>
      <c r="K45" s="17"/>
      <c r="L45" s="81"/>
      <c r="M45" s="17"/>
      <c r="N45" s="82">
        <f t="shared" si="9"/>
        <v>268569</v>
      </c>
      <c r="O45" s="17"/>
      <c r="P45" s="87">
        <f t="shared" si="8"/>
        <v>160636</v>
      </c>
      <c r="Q45" s="87">
        <f t="shared" si="10"/>
        <v>429205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31588799</v>
      </c>
      <c r="J46" s="10"/>
      <c r="K46" s="17"/>
      <c r="L46" s="81"/>
      <c r="M46" s="17"/>
      <c r="N46" s="82">
        <f t="shared" si="9"/>
        <v>269912</v>
      </c>
      <c r="O46" s="17"/>
      <c r="P46" s="87">
        <f t="shared" si="8"/>
        <v>159293</v>
      </c>
      <c r="Q46" s="87">
        <f t="shared" si="10"/>
        <v>429205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31317537</v>
      </c>
      <c r="J47" s="10"/>
      <c r="K47" s="17"/>
      <c r="L47" s="81"/>
      <c r="M47" s="17"/>
      <c r="N47" s="82">
        <f t="shared" si="9"/>
        <v>271262</v>
      </c>
      <c r="O47" s="17"/>
      <c r="P47" s="87">
        <f t="shared" si="8"/>
        <v>157943</v>
      </c>
      <c r="Q47" s="87">
        <f t="shared" si="10"/>
        <v>429205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31044919</v>
      </c>
      <c r="J48" s="10"/>
      <c r="K48" s="17"/>
      <c r="L48" s="81"/>
      <c r="M48" s="17"/>
      <c r="N48" s="82">
        <f t="shared" si="9"/>
        <v>272618</v>
      </c>
      <c r="O48" s="17"/>
      <c r="P48" s="87">
        <f t="shared" si="8"/>
        <v>156587</v>
      </c>
      <c r="Q48" s="87">
        <f t="shared" si="10"/>
        <v>429205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30770938</v>
      </c>
      <c r="J49" s="10"/>
      <c r="K49" s="17"/>
      <c r="L49" s="81"/>
      <c r="M49" s="17"/>
      <c r="N49" s="82">
        <f t="shared" si="9"/>
        <v>273981</v>
      </c>
      <c r="O49" s="17"/>
      <c r="P49" s="87">
        <f t="shared" si="8"/>
        <v>155224</v>
      </c>
      <c r="Q49" s="87">
        <f t="shared" si="10"/>
        <v>429205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30495587</v>
      </c>
      <c r="J50" s="10"/>
      <c r="K50" s="17"/>
      <c r="L50" s="81"/>
      <c r="M50" s="17"/>
      <c r="N50" s="82">
        <f t="shared" si="9"/>
        <v>275351</v>
      </c>
      <c r="O50" s="17"/>
      <c r="P50" s="87">
        <f t="shared" si="8"/>
        <v>153854</v>
      </c>
      <c r="Q50" s="87">
        <f t="shared" si="10"/>
        <v>429205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30218859</v>
      </c>
      <c r="J51" s="10"/>
      <c r="K51" s="17"/>
      <c r="L51" s="81"/>
      <c r="M51" s="17"/>
      <c r="N51" s="82">
        <f t="shared" si="9"/>
        <v>276728</v>
      </c>
      <c r="O51" s="17"/>
      <c r="P51" s="87">
        <f t="shared" si="8"/>
        <v>152477</v>
      </c>
      <c r="Q51" s="87">
        <f t="shared" si="10"/>
        <v>429205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29940748</v>
      </c>
      <c r="J52" s="10"/>
      <c r="K52" s="17"/>
      <c r="L52" s="81"/>
      <c r="M52" s="17"/>
      <c r="N52" s="82">
        <f t="shared" si="9"/>
        <v>278111</v>
      </c>
      <c r="O52" s="17"/>
      <c r="P52" s="87">
        <f t="shared" si="8"/>
        <v>151094</v>
      </c>
      <c r="Q52" s="87">
        <f t="shared" si="10"/>
        <v>429205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29661246</v>
      </c>
      <c r="J53" s="10"/>
      <c r="K53" s="17"/>
      <c r="L53" s="81"/>
      <c r="M53" s="17"/>
      <c r="N53" s="82">
        <f t="shared" si="9"/>
        <v>279502</v>
      </c>
      <c r="O53" s="17"/>
      <c r="P53" s="87">
        <f t="shared" si="8"/>
        <v>149703</v>
      </c>
      <c r="Q53" s="87">
        <f t="shared" si="10"/>
        <v>429205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29380347</v>
      </c>
      <c r="J54" s="10"/>
      <c r="K54" s="17"/>
      <c r="L54" s="81"/>
      <c r="M54" s="17"/>
      <c r="N54" s="82">
        <f t="shared" si="9"/>
        <v>280899</v>
      </c>
      <c r="O54" s="17"/>
      <c r="P54" s="87">
        <f t="shared" si="8"/>
        <v>148306</v>
      </c>
      <c r="Q54" s="87">
        <f t="shared" si="10"/>
        <v>429205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29098043</v>
      </c>
      <c r="J55" s="10"/>
      <c r="K55" s="17"/>
      <c r="L55" s="81"/>
      <c r="M55" s="17"/>
      <c r="N55" s="82">
        <f t="shared" si="9"/>
        <v>282304</v>
      </c>
      <c r="O55" s="17"/>
      <c r="P55" s="87">
        <f t="shared" si="8"/>
        <v>146901</v>
      </c>
      <c r="Q55" s="87">
        <f t="shared" si="10"/>
        <v>429205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28814328</v>
      </c>
      <c r="J56" s="10"/>
      <c r="K56" s="17"/>
      <c r="L56" s="81"/>
      <c r="M56" s="17"/>
      <c r="N56" s="82">
        <f t="shared" si="9"/>
        <v>283715</v>
      </c>
      <c r="O56" s="17"/>
      <c r="P56" s="87">
        <f t="shared" si="8"/>
        <v>145490</v>
      </c>
      <c r="Q56" s="87">
        <f t="shared" si="10"/>
        <v>429205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28529194</v>
      </c>
      <c r="J57" s="10"/>
      <c r="K57" s="17"/>
      <c r="L57" s="81"/>
      <c r="M57" s="17"/>
      <c r="N57" s="82">
        <f t="shared" si="9"/>
        <v>285134</v>
      </c>
      <c r="O57" s="17"/>
      <c r="P57" s="87">
        <f t="shared" si="8"/>
        <v>144071</v>
      </c>
      <c r="Q57" s="87">
        <f t="shared" si="10"/>
        <v>429205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28242634</v>
      </c>
      <c r="J58" s="10"/>
      <c r="K58" s="17"/>
      <c r="L58" s="81"/>
      <c r="M58" s="17"/>
      <c r="N58" s="82">
        <f t="shared" si="9"/>
        <v>286560</v>
      </c>
      <c r="O58" s="17"/>
      <c r="P58" s="87">
        <f t="shared" si="8"/>
        <v>142645</v>
      </c>
      <c r="Q58" s="87">
        <f t="shared" si="10"/>
        <v>429205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27954642</v>
      </c>
      <c r="J59" s="10"/>
      <c r="K59" s="17"/>
      <c r="L59" s="81"/>
      <c r="M59" s="17"/>
      <c r="N59" s="82">
        <f t="shared" si="9"/>
        <v>287992</v>
      </c>
      <c r="O59" s="17"/>
      <c r="P59" s="87">
        <f t="shared" si="8"/>
        <v>141213</v>
      </c>
      <c r="Q59" s="87">
        <f t="shared" si="10"/>
        <v>429205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27665210</v>
      </c>
      <c r="J60" s="10"/>
      <c r="K60" s="17"/>
      <c r="L60" s="81"/>
      <c r="M60" s="17"/>
      <c r="N60" s="82">
        <f t="shared" si="9"/>
        <v>289432</v>
      </c>
      <c r="O60" s="17"/>
      <c r="P60" s="87">
        <f t="shared" si="8"/>
        <v>139773</v>
      </c>
      <c r="Q60" s="87">
        <f t="shared" si="10"/>
        <v>429205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27374331</v>
      </c>
      <c r="J61" s="10"/>
      <c r="K61" s="17"/>
      <c r="L61" s="81"/>
      <c r="M61" s="17"/>
      <c r="N61" s="82">
        <f t="shared" si="9"/>
        <v>290879</v>
      </c>
      <c r="O61" s="17"/>
      <c r="P61" s="87">
        <f t="shared" si="8"/>
        <v>138326</v>
      </c>
      <c r="Q61" s="87">
        <f t="shared" si="10"/>
        <v>429205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27081997</v>
      </c>
      <c r="J62" s="10"/>
      <c r="K62" s="17"/>
      <c r="L62" s="81"/>
      <c r="M62" s="17"/>
      <c r="N62" s="82">
        <f t="shared" si="9"/>
        <v>292334</v>
      </c>
      <c r="O62" s="17"/>
      <c r="P62" s="87">
        <f t="shared" si="8"/>
        <v>136871</v>
      </c>
      <c r="Q62" s="87">
        <f t="shared" si="10"/>
        <v>429205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26788201</v>
      </c>
      <c r="J63" s="10"/>
      <c r="K63" s="17"/>
      <c r="L63" s="81"/>
      <c r="M63" s="17"/>
      <c r="N63" s="82">
        <f t="shared" si="9"/>
        <v>293796</v>
      </c>
      <c r="O63" s="17"/>
      <c r="P63" s="87">
        <f t="shared" si="8"/>
        <v>135409</v>
      </c>
      <c r="Q63" s="87">
        <f t="shared" si="10"/>
        <v>429205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26492937</v>
      </c>
      <c r="J64" s="10"/>
      <c r="K64" s="17"/>
      <c r="L64" s="81"/>
      <c r="M64" s="17"/>
      <c r="N64" s="82">
        <f t="shared" si="9"/>
        <v>295264</v>
      </c>
      <c r="O64" s="17"/>
      <c r="P64" s="87">
        <f t="shared" si="8"/>
        <v>133941</v>
      </c>
      <c r="Q64" s="87">
        <f t="shared" si="10"/>
        <v>429205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26196196</v>
      </c>
      <c r="J65" s="10"/>
      <c r="K65" s="17"/>
      <c r="L65" s="81"/>
      <c r="M65" s="17"/>
      <c r="N65" s="82">
        <f t="shared" si="9"/>
        <v>296741</v>
      </c>
      <c r="O65" s="17"/>
      <c r="P65" s="87">
        <f t="shared" si="8"/>
        <v>132464</v>
      </c>
      <c r="Q65" s="87">
        <f t="shared" si="10"/>
        <v>429205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25897971</v>
      </c>
      <c r="J66" s="10"/>
      <c r="K66" s="17"/>
      <c r="L66" s="81"/>
      <c r="M66" s="17"/>
      <c r="N66" s="82">
        <f t="shared" si="9"/>
        <v>298225</v>
      </c>
      <c r="O66" s="17"/>
      <c r="P66" s="87">
        <f t="shared" si="8"/>
        <v>130980</v>
      </c>
      <c r="Q66" s="87">
        <f t="shared" si="10"/>
        <v>429205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25598255</v>
      </c>
      <c r="J67" s="10"/>
      <c r="K67" s="17"/>
      <c r="L67" s="81"/>
      <c r="M67" s="17"/>
      <c r="N67" s="82">
        <f t="shared" si="9"/>
        <v>299716</v>
      </c>
      <c r="O67" s="17"/>
      <c r="P67" s="87">
        <f t="shared" si="8"/>
        <v>129489</v>
      </c>
      <c r="Q67" s="87">
        <f t="shared" si="10"/>
        <v>429205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25297041</v>
      </c>
      <c r="J68" s="10"/>
      <c r="K68" s="17"/>
      <c r="L68" s="81"/>
      <c r="M68" s="17"/>
      <c r="N68" s="82">
        <f t="shared" si="9"/>
        <v>301214</v>
      </c>
      <c r="O68" s="17"/>
      <c r="P68" s="87">
        <f t="shared" si="8"/>
        <v>127991</v>
      </c>
      <c r="Q68" s="87">
        <f t="shared" si="10"/>
        <v>429205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24994321</v>
      </c>
      <c r="J69" s="10"/>
      <c r="K69" s="17"/>
      <c r="L69" s="81"/>
      <c r="M69" s="17"/>
      <c r="N69" s="82">
        <f t="shared" si="9"/>
        <v>302720</v>
      </c>
      <c r="O69" s="17"/>
      <c r="P69" s="87">
        <f t="shared" si="8"/>
        <v>126485</v>
      </c>
      <c r="Q69" s="87">
        <f t="shared" si="10"/>
        <v>429205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24690087</v>
      </c>
      <c r="J70" s="10"/>
      <c r="K70" s="17"/>
      <c r="L70" s="90"/>
      <c r="M70" s="91"/>
      <c r="N70" s="82">
        <f t="shared" si="9"/>
        <v>304234</v>
      </c>
      <c r="O70" s="17"/>
      <c r="P70" s="87">
        <f t="shared" si="8"/>
        <v>124971</v>
      </c>
      <c r="Q70" s="87">
        <f t="shared" si="10"/>
        <v>429205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24384332</v>
      </c>
      <c r="J71" s="10"/>
      <c r="K71" s="17"/>
      <c r="L71" s="90"/>
      <c r="M71" s="91"/>
      <c r="N71" s="82">
        <f t="shared" si="9"/>
        <v>305755</v>
      </c>
      <c r="O71" s="17"/>
      <c r="P71" s="87">
        <f t="shared" si="8"/>
        <v>123450</v>
      </c>
      <c r="Q71" s="87">
        <f t="shared" si="10"/>
        <v>429205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24077048</v>
      </c>
      <c r="J72" s="10"/>
      <c r="K72" s="17"/>
      <c r="L72" s="90"/>
      <c r="M72" s="91"/>
      <c r="N72" s="82">
        <f t="shared" si="9"/>
        <v>307284</v>
      </c>
      <c r="O72" s="17"/>
      <c r="P72" s="87">
        <f t="shared" si="8"/>
        <v>121921</v>
      </c>
      <c r="Q72" s="87">
        <f t="shared" si="10"/>
        <v>429205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23768228</v>
      </c>
      <c r="J73" s="10"/>
      <c r="K73" s="17"/>
      <c r="L73" s="90"/>
      <c r="M73" s="91"/>
      <c r="N73" s="82">
        <f t="shared" si="9"/>
        <v>308820</v>
      </c>
      <c r="O73" s="17"/>
      <c r="P73" s="87">
        <f t="shared" si="8"/>
        <v>120385</v>
      </c>
      <c r="Q73" s="87">
        <f t="shared" si="10"/>
        <v>429205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23457864</v>
      </c>
      <c r="J74" s="10"/>
      <c r="K74" s="17"/>
      <c r="L74" s="90"/>
      <c r="M74" s="91"/>
      <c r="N74" s="82">
        <f t="shared" si="9"/>
        <v>310364</v>
      </c>
      <c r="O74" s="17"/>
      <c r="P74" s="87">
        <f t="shared" si="8"/>
        <v>118841</v>
      </c>
      <c r="Q74" s="87">
        <f t="shared" si="10"/>
        <v>429205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23145948</v>
      </c>
      <c r="J75" s="10"/>
      <c r="K75" s="17"/>
      <c r="L75" s="90"/>
      <c r="M75" s="91"/>
      <c r="N75" s="82">
        <f t="shared" si="9"/>
        <v>311916</v>
      </c>
      <c r="O75" s="17"/>
      <c r="P75" s="87">
        <f t="shared" si="8"/>
        <v>117289</v>
      </c>
      <c r="Q75" s="87">
        <f t="shared" si="10"/>
        <v>429205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22832472</v>
      </c>
      <c r="J76" s="10"/>
      <c r="K76" s="17"/>
      <c r="L76" s="90"/>
      <c r="M76" s="91"/>
      <c r="N76" s="82">
        <f t="shared" si="9"/>
        <v>313476</v>
      </c>
      <c r="O76" s="17"/>
      <c r="P76" s="87">
        <f t="shared" si="8"/>
        <v>115729</v>
      </c>
      <c r="Q76" s="87">
        <f t="shared" si="10"/>
        <v>429205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22517429</v>
      </c>
      <c r="J77" s="10"/>
      <c r="K77" s="17"/>
      <c r="L77" s="90"/>
      <c r="M77" s="91"/>
      <c r="N77" s="82">
        <f t="shared" si="9"/>
        <v>315043</v>
      </c>
      <c r="O77" s="17"/>
      <c r="P77" s="87">
        <f t="shared" si="8"/>
        <v>114162</v>
      </c>
      <c r="Q77" s="87">
        <f t="shared" si="10"/>
        <v>429205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22200811</v>
      </c>
      <c r="J78" s="10"/>
      <c r="K78" s="17"/>
      <c r="L78" s="81"/>
      <c r="M78" s="17"/>
      <c r="N78" s="82">
        <f t="shared" si="9"/>
        <v>316618</v>
      </c>
      <c r="O78" s="17"/>
      <c r="P78" s="87">
        <f t="shared" si="8"/>
        <v>112587</v>
      </c>
      <c r="Q78" s="87">
        <f t="shared" si="10"/>
        <v>429205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21882610</v>
      </c>
      <c r="J79" s="10"/>
      <c r="K79" s="17"/>
      <c r="L79" s="81"/>
      <c r="M79" s="17"/>
      <c r="N79" s="82">
        <f t="shared" si="9"/>
        <v>318201</v>
      </c>
      <c r="O79" s="17"/>
      <c r="P79" s="87">
        <f t="shared" si="8"/>
        <v>111004</v>
      </c>
      <c r="Q79" s="87">
        <f t="shared" si="10"/>
        <v>429205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21562818</v>
      </c>
      <c r="J80" s="10"/>
      <c r="K80" s="17"/>
      <c r="L80" s="81"/>
      <c r="M80" s="17"/>
      <c r="N80" s="82">
        <f t="shared" si="9"/>
        <v>319792</v>
      </c>
      <c r="O80" s="17"/>
      <c r="P80" s="87">
        <f t="shared" si="8"/>
        <v>109413</v>
      </c>
      <c r="Q80" s="87">
        <f t="shared" si="10"/>
        <v>429205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21241427</v>
      </c>
      <c r="J81" s="10"/>
      <c r="K81" s="17"/>
      <c r="L81" s="81"/>
      <c r="M81" s="17"/>
      <c r="N81" s="82">
        <f t="shared" si="9"/>
        <v>321391</v>
      </c>
      <c r="O81" s="17"/>
      <c r="P81" s="87">
        <f t="shared" si="8"/>
        <v>107814</v>
      </c>
      <c r="Q81" s="87">
        <f t="shared" si="10"/>
        <v>429205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20918429</v>
      </c>
      <c r="J82" s="10"/>
      <c r="K82" s="17"/>
      <c r="L82" s="81"/>
      <c r="M82" s="17"/>
      <c r="N82" s="82">
        <f t="shared" si="9"/>
        <v>322998</v>
      </c>
      <c r="O82" s="17"/>
      <c r="P82" s="87">
        <f t="shared" si="8"/>
        <v>106207</v>
      </c>
      <c r="Q82" s="87">
        <f t="shared" si="10"/>
        <v>429205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20593816</v>
      </c>
      <c r="J83" s="10"/>
      <c r="K83" s="17"/>
      <c r="L83" s="81"/>
      <c r="M83" s="17"/>
      <c r="N83" s="82">
        <f t="shared" si="9"/>
        <v>324613</v>
      </c>
      <c r="O83" s="17"/>
      <c r="P83" s="87">
        <f t="shared" si="8"/>
        <v>104592</v>
      </c>
      <c r="Q83" s="87">
        <f t="shared" si="10"/>
        <v>429205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20267580</v>
      </c>
      <c r="J84" s="10"/>
      <c r="K84" s="17"/>
      <c r="L84" s="81"/>
      <c r="M84" s="17"/>
      <c r="N84" s="82">
        <f t="shared" si="9"/>
        <v>326236</v>
      </c>
      <c r="O84" s="17"/>
      <c r="P84" s="87">
        <f t="shared" si="8"/>
        <v>102969</v>
      </c>
      <c r="Q84" s="87">
        <f t="shared" si="10"/>
        <v>429205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19939712</v>
      </c>
      <c r="J85" s="10"/>
      <c r="K85" s="17"/>
      <c r="L85" s="81"/>
      <c r="M85" s="17"/>
      <c r="N85" s="82">
        <f t="shared" si="9"/>
        <v>327868</v>
      </c>
      <c r="O85" s="17"/>
      <c r="P85" s="87">
        <f t="shared" si="8"/>
        <v>101337</v>
      </c>
      <c r="Q85" s="87">
        <f t="shared" si="10"/>
        <v>429205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19610205</v>
      </c>
      <c r="J86" s="10"/>
      <c r="K86" s="17"/>
      <c r="L86" s="81"/>
      <c r="M86" s="17"/>
      <c r="N86" s="82">
        <f t="shared" si="9"/>
        <v>329507</v>
      </c>
      <c r="O86" s="17"/>
      <c r="P86" s="87">
        <f t="shared" si="8"/>
        <v>99698</v>
      </c>
      <c r="Q86" s="87">
        <f t="shared" si="10"/>
        <v>429205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19279051</v>
      </c>
      <c r="J87" s="10"/>
      <c r="K87" s="17"/>
      <c r="L87" s="81"/>
      <c r="M87" s="17"/>
      <c r="N87" s="82">
        <f t="shared" si="9"/>
        <v>331154</v>
      </c>
      <c r="O87" s="17"/>
      <c r="P87" s="87">
        <f t="shared" si="8"/>
        <v>98051</v>
      </c>
      <c r="Q87" s="87">
        <f t="shared" si="10"/>
        <v>429205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18946241</v>
      </c>
      <c r="J88" s="10"/>
      <c r="K88" s="17"/>
      <c r="L88" s="81"/>
      <c r="M88" s="17"/>
      <c r="N88" s="82">
        <f t="shared" si="9"/>
        <v>332810</v>
      </c>
      <c r="O88" s="17"/>
      <c r="P88" s="87">
        <f t="shared" si="8"/>
        <v>96395</v>
      </c>
      <c r="Q88" s="87">
        <f t="shared" si="10"/>
        <v>429205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18611767</v>
      </c>
      <c r="J89" s="10"/>
      <c r="K89" s="17"/>
      <c r="L89" s="81"/>
      <c r="M89" s="17"/>
      <c r="N89" s="82">
        <f t="shared" si="9"/>
        <v>334474</v>
      </c>
      <c r="O89" s="17"/>
      <c r="P89" s="87">
        <f t="shared" si="8"/>
        <v>94731</v>
      </c>
      <c r="Q89" s="87">
        <f t="shared" si="10"/>
        <v>429205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18275620</v>
      </c>
      <c r="J90" s="10"/>
      <c r="K90" s="17"/>
      <c r="L90" s="81"/>
      <c r="M90" s="17"/>
      <c r="N90" s="82">
        <f t="shared" si="9"/>
        <v>336147</v>
      </c>
      <c r="O90" s="17"/>
      <c r="P90" s="87">
        <f t="shared" si="8"/>
        <v>93058</v>
      </c>
      <c r="Q90" s="87">
        <f t="shared" si="10"/>
        <v>429205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17937793</v>
      </c>
      <c r="J91" s="10"/>
      <c r="K91" s="17"/>
      <c r="L91" s="81"/>
      <c r="M91" s="17"/>
      <c r="N91" s="82">
        <f t="shared" si="9"/>
        <v>337827</v>
      </c>
      <c r="O91" s="17"/>
      <c r="P91" s="87">
        <f t="shared" si="8"/>
        <v>91378</v>
      </c>
      <c r="Q91" s="87">
        <f t="shared" si="10"/>
        <v>429205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17598276</v>
      </c>
      <c r="J92" s="10"/>
      <c r="K92" s="17"/>
      <c r="L92" s="81"/>
      <c r="M92" s="17"/>
      <c r="N92" s="82">
        <f t="shared" si="9"/>
        <v>339517</v>
      </c>
      <c r="O92" s="17"/>
      <c r="P92" s="87">
        <f t="shared" si="8"/>
        <v>89688</v>
      </c>
      <c r="Q92" s="87">
        <f t="shared" si="10"/>
        <v>429205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17257062</v>
      </c>
      <c r="J93" s="10"/>
      <c r="K93" s="17"/>
      <c r="L93" s="81"/>
      <c r="M93" s="17"/>
      <c r="N93" s="82">
        <f t="shared" si="9"/>
        <v>341214</v>
      </c>
      <c r="O93" s="17"/>
      <c r="P93" s="87">
        <f t="shared" si="8"/>
        <v>87991</v>
      </c>
      <c r="Q93" s="87">
        <f t="shared" si="10"/>
        <v>429205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16914142</v>
      </c>
      <c r="J94" s="10"/>
      <c r="K94" s="17"/>
      <c r="L94" s="81"/>
      <c r="M94" s="17"/>
      <c r="N94" s="82">
        <f t="shared" si="9"/>
        <v>342920</v>
      </c>
      <c r="O94" s="17"/>
      <c r="P94" s="87">
        <f t="shared" si="8"/>
        <v>86285</v>
      </c>
      <c r="Q94" s="87">
        <f t="shared" si="10"/>
        <v>429205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16569507</v>
      </c>
      <c r="J95" s="10"/>
      <c r="K95" s="17"/>
      <c r="L95" s="81"/>
      <c r="M95" s="17"/>
      <c r="N95" s="82">
        <f t="shared" si="9"/>
        <v>344635</v>
      </c>
      <c r="O95" s="17"/>
      <c r="P95" s="87">
        <f t="shared" si="8"/>
        <v>84570</v>
      </c>
      <c r="Q95" s="87">
        <f t="shared" si="10"/>
        <v>429205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16223149</v>
      </c>
      <c r="J96" s="10"/>
      <c r="K96" s="17"/>
      <c r="L96" s="81"/>
      <c r="M96" s="17"/>
      <c r="N96" s="82">
        <f t="shared" si="9"/>
        <v>346358</v>
      </c>
      <c r="O96" s="17"/>
      <c r="P96" s="87">
        <f t="shared" si="8"/>
        <v>82847</v>
      </c>
      <c r="Q96" s="87">
        <f t="shared" si="10"/>
        <v>429205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15875059</v>
      </c>
      <c r="J97" s="10"/>
      <c r="K97" s="17"/>
      <c r="L97" s="81"/>
      <c r="M97" s="17"/>
      <c r="N97" s="82">
        <f t="shared" si="9"/>
        <v>348090</v>
      </c>
      <c r="O97" s="17"/>
      <c r="P97" s="87">
        <f t="shared" si="8"/>
        <v>81115</v>
      </c>
      <c r="Q97" s="87">
        <f t="shared" si="10"/>
        <v>429205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15525229</v>
      </c>
      <c r="J98" s="10"/>
      <c r="K98" s="17"/>
      <c r="L98" s="81"/>
      <c r="M98" s="17"/>
      <c r="N98" s="82">
        <f t="shared" si="9"/>
        <v>349830</v>
      </c>
      <c r="O98" s="17"/>
      <c r="P98" s="87">
        <f t="shared" si="8"/>
        <v>79375</v>
      </c>
      <c r="Q98" s="87">
        <f t="shared" si="10"/>
        <v>429205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15173650</v>
      </c>
      <c r="J99" s="10"/>
      <c r="K99" s="17"/>
      <c r="L99" s="81"/>
      <c r="M99" s="17"/>
      <c r="N99" s="82">
        <f t="shared" si="9"/>
        <v>351579</v>
      </c>
      <c r="O99" s="17"/>
      <c r="P99" s="87">
        <f t="shared" si="8"/>
        <v>77626</v>
      </c>
      <c r="Q99" s="87">
        <f t="shared" si="10"/>
        <v>429205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14820313</v>
      </c>
      <c r="J100" s="10"/>
      <c r="K100" s="17"/>
      <c r="L100" s="81"/>
      <c r="M100" s="17"/>
      <c r="N100" s="82">
        <f t="shared" si="9"/>
        <v>353337</v>
      </c>
      <c r="O100" s="17"/>
      <c r="P100" s="87">
        <f t="shared" si="8"/>
        <v>75868</v>
      </c>
      <c r="Q100" s="87">
        <f t="shared" si="10"/>
        <v>429205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14465209</v>
      </c>
      <c r="J101" s="10"/>
      <c r="K101" s="17"/>
      <c r="L101" s="81"/>
      <c r="M101" s="17"/>
      <c r="N101" s="82">
        <f t="shared" si="9"/>
        <v>355104</v>
      </c>
      <c r="O101" s="17"/>
      <c r="P101" s="87">
        <f t="shared" si="8"/>
        <v>74101</v>
      </c>
      <c r="Q101" s="87">
        <f t="shared" si="10"/>
        <v>429205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14108330</v>
      </c>
      <c r="J102" s="10"/>
      <c r="K102" s="17"/>
      <c r="L102" s="81"/>
      <c r="M102" s="17"/>
      <c r="N102" s="82">
        <f t="shared" si="9"/>
        <v>356879</v>
      </c>
      <c r="O102" s="17"/>
      <c r="P102" s="87">
        <f t="shared" si="8"/>
        <v>72326</v>
      </c>
      <c r="Q102" s="87">
        <f t="shared" si="10"/>
        <v>429205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13749666</v>
      </c>
      <c r="J103" s="10"/>
      <c r="K103" s="17"/>
      <c r="L103" s="81"/>
      <c r="M103" s="17"/>
      <c r="N103" s="82">
        <f t="shared" si="9"/>
        <v>358664</v>
      </c>
      <c r="O103" s="17"/>
      <c r="P103" s="87">
        <f t="shared" si="8"/>
        <v>70541</v>
      </c>
      <c r="Q103" s="87">
        <f t="shared" si="10"/>
        <v>429205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13389209</v>
      </c>
      <c r="J104" s="10"/>
      <c r="K104" s="17"/>
      <c r="L104" s="81"/>
      <c r="M104" s="17"/>
      <c r="N104" s="82">
        <f t="shared" si="9"/>
        <v>360457</v>
      </c>
      <c r="O104" s="17"/>
      <c r="P104" s="87">
        <f t="shared" si="8"/>
        <v>68748</v>
      </c>
      <c r="Q104" s="87">
        <f t="shared" si="10"/>
        <v>429205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13026950</v>
      </c>
      <c r="J105" s="10"/>
      <c r="K105" s="17"/>
      <c r="L105" s="81"/>
      <c r="M105" s="17"/>
      <c r="N105" s="82">
        <f t="shared" si="9"/>
        <v>362259</v>
      </c>
      <c r="O105" s="17"/>
      <c r="P105" s="87">
        <f t="shared" si="8"/>
        <v>66946</v>
      </c>
      <c r="Q105" s="87">
        <f t="shared" si="10"/>
        <v>429205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12662879</v>
      </c>
      <c r="J106" s="10"/>
      <c r="K106" s="17"/>
      <c r="L106" s="81"/>
      <c r="M106" s="17"/>
      <c r="N106" s="82">
        <f t="shared" si="9"/>
        <v>364071</v>
      </c>
      <c r="O106" s="17"/>
      <c r="P106" s="87">
        <f t="shared" si="8"/>
        <v>65134</v>
      </c>
      <c r="Q106" s="87">
        <f t="shared" si="10"/>
        <v>429205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12296988</v>
      </c>
      <c r="J107" s="10"/>
      <c r="K107" s="17"/>
      <c r="L107" s="81"/>
      <c r="M107" s="17"/>
      <c r="N107" s="82">
        <f t="shared" si="9"/>
        <v>365891</v>
      </c>
      <c r="O107" s="17"/>
      <c r="P107" s="87">
        <f t="shared" si="8"/>
        <v>63314</v>
      </c>
      <c r="Q107" s="87">
        <f t="shared" si="10"/>
        <v>429205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11929267</v>
      </c>
      <c r="J108" s="10"/>
      <c r="K108" s="17"/>
      <c r="L108" s="81"/>
      <c r="M108" s="17"/>
      <c r="N108" s="82">
        <f t="shared" si="9"/>
        <v>367721</v>
      </c>
      <c r="O108" s="17"/>
      <c r="P108" s="87">
        <f t="shared" si="8"/>
        <v>61484</v>
      </c>
      <c r="Q108" s="87">
        <f t="shared" si="10"/>
        <v>429205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11559708</v>
      </c>
      <c r="J109" s="10"/>
      <c r="K109" s="17"/>
      <c r="L109" s="81"/>
      <c r="M109" s="17"/>
      <c r="N109" s="82">
        <f t="shared" si="9"/>
        <v>369559</v>
      </c>
      <c r="O109" s="17"/>
      <c r="P109" s="87">
        <f t="shared" si="8"/>
        <v>59646</v>
      </c>
      <c r="Q109" s="87">
        <f t="shared" si="10"/>
        <v>429205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11188301</v>
      </c>
      <c r="J110" s="10"/>
      <c r="K110" s="17"/>
      <c r="L110" s="81"/>
      <c r="M110" s="17"/>
      <c r="N110" s="82">
        <f t="shared" si="9"/>
        <v>371407</v>
      </c>
      <c r="O110" s="17"/>
      <c r="P110" s="87">
        <f t="shared" si="8"/>
        <v>57798</v>
      </c>
      <c r="Q110" s="87">
        <f t="shared" si="10"/>
        <v>429205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10815037</v>
      </c>
      <c r="J111" s="10"/>
      <c r="K111" s="17"/>
      <c r="L111" s="81"/>
      <c r="M111" s="17"/>
      <c r="N111" s="82">
        <f t="shared" si="9"/>
        <v>373264</v>
      </c>
      <c r="O111" s="17"/>
      <c r="P111" s="87">
        <f t="shared" si="8"/>
        <v>55941</v>
      </c>
      <c r="Q111" s="87">
        <f t="shared" si="10"/>
        <v>429205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10439907</v>
      </c>
      <c r="J112" s="10"/>
      <c r="K112" s="17"/>
      <c r="L112" s="81"/>
      <c r="M112" s="17"/>
      <c r="N112" s="82">
        <f t="shared" si="9"/>
        <v>375130</v>
      </c>
      <c r="O112" s="17"/>
      <c r="P112" s="87">
        <f t="shared" si="8"/>
        <v>54075</v>
      </c>
      <c r="Q112" s="87">
        <f t="shared" si="10"/>
        <v>429205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10062901</v>
      </c>
      <c r="J113" s="10"/>
      <c r="K113" s="17"/>
      <c r="L113" s="81"/>
      <c r="M113" s="17"/>
      <c r="N113" s="82">
        <f t="shared" si="9"/>
        <v>377006</v>
      </c>
      <c r="O113" s="17"/>
      <c r="P113" s="87">
        <f t="shared" si="8"/>
        <v>52199</v>
      </c>
      <c r="Q113" s="87">
        <f t="shared" si="10"/>
        <v>429205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9684010</v>
      </c>
      <c r="J114" s="10"/>
      <c r="K114" s="17"/>
      <c r="L114" s="81"/>
      <c r="M114" s="17"/>
      <c r="N114" s="82">
        <f t="shared" si="9"/>
        <v>378891</v>
      </c>
      <c r="O114" s="17"/>
      <c r="P114" s="87">
        <f t="shared" si="8"/>
        <v>50314</v>
      </c>
      <c r="Q114" s="87">
        <f t="shared" si="10"/>
        <v>429205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9303225</v>
      </c>
      <c r="J115" s="10"/>
      <c r="K115" s="17"/>
      <c r="L115" s="81"/>
      <c r="M115" s="17"/>
      <c r="N115" s="82">
        <f t="shared" si="9"/>
        <v>380785</v>
      </c>
      <c r="O115" s="17"/>
      <c r="P115" s="87">
        <f t="shared" si="8"/>
        <v>48420</v>
      </c>
      <c r="Q115" s="87">
        <f t="shared" si="10"/>
        <v>429205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8920536</v>
      </c>
      <c r="J116" s="10"/>
      <c r="K116" s="17"/>
      <c r="L116" s="81"/>
      <c r="M116" s="17"/>
      <c r="N116" s="82">
        <f t="shared" si="9"/>
        <v>382689</v>
      </c>
      <c r="O116" s="17"/>
      <c r="P116" s="87">
        <f t="shared" si="8"/>
        <v>46516</v>
      </c>
      <c r="Q116" s="87">
        <f t="shared" si="10"/>
        <v>429205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8535933</v>
      </c>
      <c r="J117" s="10"/>
      <c r="K117" s="17"/>
      <c r="L117" s="81"/>
      <c r="M117" s="17"/>
      <c r="N117" s="82">
        <f t="shared" si="9"/>
        <v>384603</v>
      </c>
      <c r="O117" s="17"/>
      <c r="P117" s="87">
        <f t="shared" si="8"/>
        <v>44602</v>
      </c>
      <c r="Q117" s="87">
        <f t="shared" si="10"/>
        <v>429205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8149407</v>
      </c>
      <c r="J118" s="10"/>
      <c r="K118" s="17"/>
      <c r="L118" s="81"/>
      <c r="M118" s="17"/>
      <c r="N118" s="82">
        <f t="shared" si="9"/>
        <v>386526</v>
      </c>
      <c r="O118" s="17"/>
      <c r="P118" s="87">
        <f t="shared" si="8"/>
        <v>42679</v>
      </c>
      <c r="Q118" s="87">
        <f t="shared" si="10"/>
        <v>429205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7760949</v>
      </c>
      <c r="J119" s="10"/>
      <c r="K119" s="17"/>
      <c r="L119" s="81"/>
      <c r="M119" s="17"/>
      <c r="N119" s="82">
        <f t="shared" si="9"/>
        <v>388458</v>
      </c>
      <c r="O119" s="17"/>
      <c r="P119" s="87">
        <f t="shared" si="8"/>
        <v>40747</v>
      </c>
      <c r="Q119" s="87">
        <f t="shared" si="10"/>
        <v>429205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7370548</v>
      </c>
      <c r="J120" s="10"/>
      <c r="K120" s="17"/>
      <c r="L120" s="81"/>
      <c r="M120" s="17"/>
      <c r="N120" s="82">
        <f t="shared" si="9"/>
        <v>390401</v>
      </c>
      <c r="O120" s="17"/>
      <c r="P120" s="87">
        <f t="shared" si="8"/>
        <v>38804</v>
      </c>
      <c r="Q120" s="87">
        <f t="shared" si="10"/>
        <v>429205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6978195</v>
      </c>
      <c r="J121" s="10"/>
      <c r="K121" s="17"/>
      <c r="L121" s="81"/>
      <c r="M121" s="17"/>
      <c r="N121" s="82">
        <f t="shared" si="9"/>
        <v>392353</v>
      </c>
      <c r="O121" s="17"/>
      <c r="P121" s="87">
        <f t="shared" si="8"/>
        <v>36852</v>
      </c>
      <c r="Q121" s="87">
        <f t="shared" si="10"/>
        <v>429205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6583880</v>
      </c>
      <c r="J122" s="10"/>
      <c r="K122" s="17"/>
      <c r="L122" s="81"/>
      <c r="M122" s="17"/>
      <c r="N122" s="82">
        <f t="shared" si="9"/>
        <v>394315</v>
      </c>
      <c r="O122" s="17"/>
      <c r="P122" s="87">
        <f t="shared" si="8"/>
        <v>34890</v>
      </c>
      <c r="Q122" s="87">
        <f t="shared" si="10"/>
        <v>429205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6187594</v>
      </c>
      <c r="J123" s="10"/>
      <c r="K123" s="17"/>
      <c r="L123" s="81"/>
      <c r="M123" s="17"/>
      <c r="N123" s="82">
        <f t="shared" si="9"/>
        <v>396286</v>
      </c>
      <c r="O123" s="17"/>
      <c r="P123" s="87">
        <f t="shared" si="8"/>
        <v>32919</v>
      </c>
      <c r="Q123" s="87">
        <f t="shared" si="10"/>
        <v>429205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5789326</v>
      </c>
      <c r="J124" s="10"/>
      <c r="K124" s="17"/>
      <c r="L124" s="81"/>
      <c r="M124" s="17"/>
      <c r="N124" s="82">
        <f t="shared" si="9"/>
        <v>398268</v>
      </c>
      <c r="O124" s="17"/>
      <c r="P124" s="87">
        <f t="shared" si="8"/>
        <v>30937</v>
      </c>
      <c r="Q124" s="87">
        <f t="shared" si="10"/>
        <v>429205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5389067</v>
      </c>
      <c r="J125" s="10"/>
      <c r="K125" s="17"/>
      <c r="L125" s="81"/>
      <c r="M125" s="17"/>
      <c r="N125" s="82">
        <f t="shared" si="9"/>
        <v>400259</v>
      </c>
      <c r="O125" s="17"/>
      <c r="P125" s="87">
        <f t="shared" si="8"/>
        <v>28946</v>
      </c>
      <c r="Q125" s="87">
        <f t="shared" si="10"/>
        <v>429205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4986807</v>
      </c>
      <c r="J126" s="10"/>
      <c r="K126" s="17"/>
      <c r="L126" s="81"/>
      <c r="M126" s="17"/>
      <c r="N126" s="82">
        <f t="shared" si="9"/>
        <v>402260</v>
      </c>
      <c r="O126" s="17"/>
      <c r="P126" s="87">
        <f t="shared" si="8"/>
        <v>26945</v>
      </c>
      <c r="Q126" s="87">
        <f t="shared" si="10"/>
        <v>429205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4582536</v>
      </c>
      <c r="J127" s="10"/>
      <c r="K127" s="17"/>
      <c r="L127" s="81"/>
      <c r="M127" s="17"/>
      <c r="N127" s="82">
        <f t="shared" si="9"/>
        <v>404271</v>
      </c>
      <c r="O127" s="17"/>
      <c r="P127" s="87">
        <f t="shared" si="8"/>
        <v>24934</v>
      </c>
      <c r="Q127" s="87">
        <f t="shared" si="10"/>
        <v>429205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4176243</v>
      </c>
      <c r="J128" s="10"/>
      <c r="K128" s="17"/>
      <c r="L128" s="81"/>
      <c r="M128" s="17"/>
      <c r="N128" s="82">
        <f t="shared" si="9"/>
        <v>406293</v>
      </c>
      <c r="O128" s="17"/>
      <c r="P128" s="87">
        <f t="shared" si="8"/>
        <v>22912</v>
      </c>
      <c r="Q128" s="87">
        <f t="shared" si="10"/>
        <v>429205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3767919</v>
      </c>
      <c r="J129" s="10"/>
      <c r="K129" s="17"/>
      <c r="L129" s="81"/>
      <c r="M129" s="17"/>
      <c r="N129" s="82">
        <f t="shared" si="9"/>
        <v>408324</v>
      </c>
      <c r="O129" s="17"/>
      <c r="P129" s="87">
        <f t="shared" si="8"/>
        <v>20881</v>
      </c>
      <c r="Q129" s="87">
        <f t="shared" si="10"/>
        <v>429205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3357553</v>
      </c>
      <c r="J130" s="10"/>
      <c r="K130" s="17"/>
      <c r="L130" s="81"/>
      <c r="M130" s="17"/>
      <c r="N130" s="82">
        <f t="shared" si="9"/>
        <v>410366</v>
      </c>
      <c r="O130" s="17"/>
      <c r="P130" s="87">
        <f t="shared" si="8"/>
        <v>18839</v>
      </c>
      <c r="Q130" s="87">
        <f t="shared" si="10"/>
        <v>429205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2945135</v>
      </c>
      <c r="J131" s="10"/>
      <c r="K131" s="17"/>
      <c r="L131" s="81"/>
      <c r="M131" s="17"/>
      <c r="N131" s="82">
        <f t="shared" si="9"/>
        <v>412418</v>
      </c>
      <c r="O131" s="17"/>
      <c r="P131" s="87">
        <f t="shared" si="8"/>
        <v>16787</v>
      </c>
      <c r="Q131" s="87">
        <f t="shared" si="10"/>
        <v>429205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2530655</v>
      </c>
      <c r="J132" s="10"/>
      <c r="K132" s="17"/>
      <c r="L132" s="81"/>
      <c r="M132" s="17"/>
      <c r="N132" s="82">
        <f t="shared" si="9"/>
        <v>414480</v>
      </c>
      <c r="O132" s="17"/>
      <c r="P132" s="87">
        <f t="shared" si="8"/>
        <v>14725</v>
      </c>
      <c r="Q132" s="87">
        <f t="shared" si="10"/>
        <v>429205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2114103</v>
      </c>
      <c r="J133" s="10"/>
      <c r="K133" s="17"/>
      <c r="L133" s="81"/>
      <c r="M133" s="17"/>
      <c r="N133" s="82">
        <f t="shared" si="9"/>
        <v>416552</v>
      </c>
      <c r="O133" s="17"/>
      <c r="P133" s="87">
        <f t="shared" si="8"/>
        <v>12653</v>
      </c>
      <c r="Q133" s="87">
        <f t="shared" si="10"/>
        <v>429205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1695468</v>
      </c>
      <c r="J134" s="10"/>
      <c r="K134" s="17"/>
      <c r="L134" s="81"/>
      <c r="M134" s="17"/>
      <c r="N134" s="82">
        <f t="shared" si="9"/>
        <v>418635</v>
      </c>
      <c r="O134" s="17"/>
      <c r="P134" s="87">
        <f t="shared" si="8"/>
        <v>10570</v>
      </c>
      <c r="Q134" s="87">
        <f t="shared" si="10"/>
        <v>429205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1274740</v>
      </c>
      <c r="J135" s="10"/>
      <c r="K135" s="17"/>
      <c r="L135" s="81"/>
      <c r="M135" s="17"/>
      <c r="N135" s="82">
        <f t="shared" si="9"/>
        <v>420728</v>
      </c>
      <c r="O135" s="17"/>
      <c r="P135" s="87">
        <f t="shared" si="8"/>
        <v>8477</v>
      </c>
      <c r="Q135" s="87">
        <f t="shared" si="10"/>
        <v>429205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851908</v>
      </c>
      <c r="J136" s="10"/>
      <c r="K136" s="17"/>
      <c r="L136" s="81"/>
      <c r="M136" s="17"/>
      <c r="N136" s="82">
        <f t="shared" si="9"/>
        <v>422832</v>
      </c>
      <c r="O136" s="17"/>
      <c r="P136" s="87">
        <f t="shared" si="8"/>
        <v>6373</v>
      </c>
      <c r="Q136" s="87">
        <f t="shared" si="10"/>
        <v>429205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426962</v>
      </c>
      <c r="J137" s="10"/>
      <c r="K137" s="17"/>
      <c r="L137" s="81"/>
      <c r="M137" s="17"/>
      <c r="N137" s="82">
        <f t="shared" si="9"/>
        <v>424946</v>
      </c>
      <c r="O137" s="17"/>
      <c r="P137" s="87">
        <f t="shared" si="8"/>
        <v>4259</v>
      </c>
      <c r="Q137" s="87">
        <f t="shared" si="10"/>
        <v>429205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426962</v>
      </c>
      <c r="O138" s="17"/>
      <c r="P138" s="87">
        <f t="shared" si="8"/>
        <v>2134</v>
      </c>
      <c r="Q138" s="87">
        <f t="shared" si="10"/>
        <v>429096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38659960</v>
      </c>
      <c r="O139" s="17"/>
      <c r="P139" s="83">
        <f t="shared" ref="P139:Q139" si="13">SUM(P19:P138)</f>
        <v>12844531</v>
      </c>
      <c r="Q139" s="83">
        <f t="shared" si="13"/>
        <v>51504491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913000.0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913000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913000</v>
      </c>
      <c r="O15" s="17"/>
      <c r="P15" s="65">
        <f t="shared" ref="P15:Q15" si="1">P139</f>
        <v>303270</v>
      </c>
      <c r="Q15" s="66">
        <f t="shared" si="1"/>
        <v>1216270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913000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907429</v>
      </c>
      <c r="J19" s="10"/>
      <c r="K19" s="17"/>
      <c r="L19" s="81"/>
      <c r="M19" s="17"/>
      <c r="N19" s="82">
        <f>ROUND(($Q$19-$P$19-$L$19),0)</f>
        <v>5571</v>
      </c>
      <c r="O19" s="17"/>
      <c r="P19" s="87">
        <f t="shared" ref="P19:P138" si="8">ROUNDDOWN((I18*$I$6),0)</f>
        <v>4565</v>
      </c>
      <c r="Q19" s="87">
        <f>ROUND((-PMT($I$6,$I$7,$I$5,0,0)+L19),0)</f>
        <v>10136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901830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5599</v>
      </c>
      <c r="O20" s="17"/>
      <c r="P20" s="87">
        <f t="shared" si="8"/>
        <v>4537</v>
      </c>
      <c r="Q20" s="87">
        <f t="shared" ref="Q20:Q138" si="10">SUM(L20:P20)</f>
        <v>10136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896203</v>
      </c>
      <c r="J21" s="10"/>
      <c r="K21" s="17"/>
      <c r="L21" s="81"/>
      <c r="M21" s="17"/>
      <c r="N21" s="82">
        <f t="shared" si="9"/>
        <v>5627</v>
      </c>
      <c r="O21" s="17"/>
      <c r="P21" s="87">
        <f t="shared" si="8"/>
        <v>4509</v>
      </c>
      <c r="Q21" s="87">
        <f t="shared" si="10"/>
        <v>10136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890548</v>
      </c>
      <c r="J22" s="10"/>
      <c r="K22" s="17"/>
      <c r="L22" s="81"/>
      <c r="M22" s="17"/>
      <c r="N22" s="82">
        <f t="shared" si="9"/>
        <v>5655</v>
      </c>
      <c r="O22" s="17"/>
      <c r="P22" s="87">
        <f t="shared" si="8"/>
        <v>4481</v>
      </c>
      <c r="Q22" s="87">
        <f t="shared" si="10"/>
        <v>10136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884864</v>
      </c>
      <c r="J23" s="10"/>
      <c r="K23" s="17"/>
      <c r="L23" s="81"/>
      <c r="M23" s="17"/>
      <c r="N23" s="82">
        <f t="shared" si="9"/>
        <v>5684</v>
      </c>
      <c r="O23" s="17"/>
      <c r="P23" s="87">
        <f t="shared" si="8"/>
        <v>4452</v>
      </c>
      <c r="Q23" s="87">
        <f t="shared" si="10"/>
        <v>10136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879152</v>
      </c>
      <c r="J24" s="10"/>
      <c r="K24" s="17"/>
      <c r="L24" s="81"/>
      <c r="M24" s="17"/>
      <c r="N24" s="82">
        <f t="shared" si="9"/>
        <v>5712</v>
      </c>
      <c r="O24" s="17"/>
      <c r="P24" s="87">
        <f t="shared" si="8"/>
        <v>4424</v>
      </c>
      <c r="Q24" s="87">
        <f t="shared" si="10"/>
        <v>10136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873411</v>
      </c>
      <c r="J25" s="10"/>
      <c r="K25" s="17"/>
      <c r="L25" s="81"/>
      <c r="M25" s="17"/>
      <c r="N25" s="82">
        <f t="shared" si="9"/>
        <v>5741</v>
      </c>
      <c r="O25" s="17"/>
      <c r="P25" s="87">
        <f t="shared" si="8"/>
        <v>4395</v>
      </c>
      <c r="Q25" s="87">
        <f t="shared" si="10"/>
        <v>10136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867642</v>
      </c>
      <c r="J26" s="10"/>
      <c r="K26" s="17"/>
      <c r="L26" s="81"/>
      <c r="M26" s="17"/>
      <c r="N26" s="82">
        <f t="shared" si="9"/>
        <v>5769</v>
      </c>
      <c r="O26" s="17"/>
      <c r="P26" s="87">
        <f t="shared" si="8"/>
        <v>4367</v>
      </c>
      <c r="Q26" s="87">
        <f t="shared" si="10"/>
        <v>10136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861844</v>
      </c>
      <c r="J27" s="10"/>
      <c r="K27" s="17"/>
      <c r="L27" s="81"/>
      <c r="M27" s="17"/>
      <c r="N27" s="82">
        <f t="shared" si="9"/>
        <v>5798</v>
      </c>
      <c r="O27" s="17"/>
      <c r="P27" s="87">
        <f t="shared" si="8"/>
        <v>4338</v>
      </c>
      <c r="Q27" s="87">
        <f t="shared" si="10"/>
        <v>10136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856017</v>
      </c>
      <c r="J28" s="10"/>
      <c r="K28" s="17"/>
      <c r="L28" s="81"/>
      <c r="M28" s="17"/>
      <c r="N28" s="82">
        <f t="shared" si="9"/>
        <v>5827</v>
      </c>
      <c r="O28" s="17"/>
      <c r="P28" s="87">
        <f t="shared" si="8"/>
        <v>4309</v>
      </c>
      <c r="Q28" s="87">
        <f t="shared" si="10"/>
        <v>10136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850161</v>
      </c>
      <c r="J29" s="10"/>
      <c r="K29" s="17"/>
      <c r="L29" s="81"/>
      <c r="M29" s="17"/>
      <c r="N29" s="82">
        <f t="shared" si="9"/>
        <v>5856</v>
      </c>
      <c r="O29" s="17"/>
      <c r="P29" s="87">
        <f t="shared" si="8"/>
        <v>4280</v>
      </c>
      <c r="Q29" s="87">
        <f t="shared" si="10"/>
        <v>10136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844275</v>
      </c>
      <c r="J30" s="10"/>
      <c r="K30" s="17"/>
      <c r="L30" s="81"/>
      <c r="M30" s="17"/>
      <c r="N30" s="82">
        <f t="shared" si="9"/>
        <v>5886</v>
      </c>
      <c r="O30" s="17"/>
      <c r="P30" s="87">
        <f t="shared" si="8"/>
        <v>4250</v>
      </c>
      <c r="Q30" s="87">
        <f t="shared" si="10"/>
        <v>10136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838360</v>
      </c>
      <c r="J31" s="10"/>
      <c r="K31" s="17"/>
      <c r="L31" s="81"/>
      <c r="M31" s="17"/>
      <c r="N31" s="82">
        <f t="shared" si="9"/>
        <v>5915</v>
      </c>
      <c r="O31" s="17"/>
      <c r="P31" s="87">
        <f t="shared" si="8"/>
        <v>4221</v>
      </c>
      <c r="Q31" s="87">
        <f t="shared" si="10"/>
        <v>10136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832415</v>
      </c>
      <c r="J32" s="10"/>
      <c r="K32" s="17"/>
      <c r="L32" s="81"/>
      <c r="M32" s="17"/>
      <c r="N32" s="82">
        <f t="shared" si="9"/>
        <v>5945</v>
      </c>
      <c r="O32" s="17"/>
      <c r="P32" s="87">
        <f t="shared" si="8"/>
        <v>4191</v>
      </c>
      <c r="Q32" s="87">
        <f t="shared" si="10"/>
        <v>10136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826441</v>
      </c>
      <c r="J33" s="10"/>
      <c r="K33" s="17"/>
      <c r="L33" s="81"/>
      <c r="M33" s="17"/>
      <c r="N33" s="82">
        <f t="shared" si="9"/>
        <v>5974</v>
      </c>
      <c r="O33" s="17"/>
      <c r="P33" s="87">
        <f t="shared" si="8"/>
        <v>4162</v>
      </c>
      <c r="Q33" s="87">
        <f t="shared" si="10"/>
        <v>10136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820437</v>
      </c>
      <c r="J34" s="10"/>
      <c r="K34" s="17"/>
      <c r="L34" s="81"/>
      <c r="M34" s="17"/>
      <c r="N34" s="82">
        <f t="shared" si="9"/>
        <v>6004</v>
      </c>
      <c r="O34" s="17"/>
      <c r="P34" s="87">
        <f t="shared" si="8"/>
        <v>4132</v>
      </c>
      <c r="Q34" s="87">
        <f t="shared" si="10"/>
        <v>10136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814403</v>
      </c>
      <c r="J35" s="10"/>
      <c r="K35" s="17"/>
      <c r="L35" s="81"/>
      <c r="M35" s="17"/>
      <c r="N35" s="82">
        <f t="shared" si="9"/>
        <v>6034</v>
      </c>
      <c r="O35" s="17"/>
      <c r="P35" s="87">
        <f t="shared" si="8"/>
        <v>4102</v>
      </c>
      <c r="Q35" s="87">
        <f t="shared" si="10"/>
        <v>10136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808339</v>
      </c>
      <c r="J36" s="10"/>
      <c r="K36" s="17"/>
      <c r="L36" s="81"/>
      <c r="M36" s="17"/>
      <c r="N36" s="82">
        <f t="shared" si="9"/>
        <v>6064</v>
      </c>
      <c r="O36" s="17"/>
      <c r="P36" s="87">
        <f t="shared" si="8"/>
        <v>4072</v>
      </c>
      <c r="Q36" s="87">
        <f t="shared" si="10"/>
        <v>10136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802244</v>
      </c>
      <c r="J37" s="10"/>
      <c r="K37" s="17"/>
      <c r="L37" s="81"/>
      <c r="M37" s="17"/>
      <c r="N37" s="82">
        <f t="shared" si="9"/>
        <v>6095</v>
      </c>
      <c r="O37" s="17"/>
      <c r="P37" s="87">
        <f t="shared" si="8"/>
        <v>4041</v>
      </c>
      <c r="Q37" s="87">
        <f t="shared" si="10"/>
        <v>10136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796119</v>
      </c>
      <c r="J38" s="10"/>
      <c r="K38" s="17"/>
      <c r="L38" s="81"/>
      <c r="M38" s="17"/>
      <c r="N38" s="82">
        <f t="shared" si="9"/>
        <v>6125</v>
      </c>
      <c r="O38" s="17"/>
      <c r="P38" s="87">
        <f t="shared" si="8"/>
        <v>4011</v>
      </c>
      <c r="Q38" s="87">
        <f t="shared" si="10"/>
        <v>10136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789963</v>
      </c>
      <c r="J39" s="10"/>
      <c r="K39" s="17"/>
      <c r="L39" s="81"/>
      <c r="M39" s="17"/>
      <c r="N39" s="82">
        <f t="shared" si="9"/>
        <v>6156</v>
      </c>
      <c r="O39" s="17"/>
      <c r="P39" s="87">
        <f t="shared" si="8"/>
        <v>3980</v>
      </c>
      <c r="Q39" s="87">
        <f t="shared" si="10"/>
        <v>10136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783776</v>
      </c>
      <c r="J40" s="10"/>
      <c r="K40" s="17"/>
      <c r="L40" s="81"/>
      <c r="M40" s="17"/>
      <c r="N40" s="82">
        <f t="shared" si="9"/>
        <v>6187</v>
      </c>
      <c r="O40" s="17"/>
      <c r="P40" s="87">
        <f t="shared" si="8"/>
        <v>3949</v>
      </c>
      <c r="Q40" s="87">
        <f t="shared" si="10"/>
        <v>10136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777558</v>
      </c>
      <c r="J41" s="10"/>
      <c r="K41" s="17"/>
      <c r="L41" s="81"/>
      <c r="M41" s="17"/>
      <c r="N41" s="82">
        <f t="shared" si="9"/>
        <v>6218</v>
      </c>
      <c r="O41" s="17"/>
      <c r="P41" s="87">
        <f t="shared" si="8"/>
        <v>3918</v>
      </c>
      <c r="Q41" s="87">
        <f t="shared" si="10"/>
        <v>10136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771309</v>
      </c>
      <c r="J42" s="10"/>
      <c r="K42" s="17"/>
      <c r="L42" s="81"/>
      <c r="M42" s="17"/>
      <c r="N42" s="82">
        <f t="shared" si="9"/>
        <v>6249</v>
      </c>
      <c r="O42" s="17"/>
      <c r="P42" s="87">
        <f t="shared" si="8"/>
        <v>3887</v>
      </c>
      <c r="Q42" s="87">
        <f t="shared" si="10"/>
        <v>10136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765029</v>
      </c>
      <c r="J43" s="10"/>
      <c r="K43" s="17"/>
      <c r="L43" s="81"/>
      <c r="M43" s="17"/>
      <c r="N43" s="82">
        <f t="shared" si="9"/>
        <v>6280</v>
      </c>
      <c r="O43" s="17"/>
      <c r="P43" s="87">
        <f t="shared" si="8"/>
        <v>3856</v>
      </c>
      <c r="Q43" s="87">
        <f t="shared" si="10"/>
        <v>10136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758718</v>
      </c>
      <c r="J44" s="10"/>
      <c r="K44" s="17"/>
      <c r="L44" s="81"/>
      <c r="M44" s="17"/>
      <c r="N44" s="82">
        <f t="shared" si="9"/>
        <v>6311</v>
      </c>
      <c r="O44" s="17"/>
      <c r="P44" s="87">
        <f t="shared" si="8"/>
        <v>3825</v>
      </c>
      <c r="Q44" s="87">
        <f t="shared" si="10"/>
        <v>10136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752375</v>
      </c>
      <c r="J45" s="10"/>
      <c r="K45" s="17"/>
      <c r="L45" s="81"/>
      <c r="M45" s="17"/>
      <c r="N45" s="82">
        <f t="shared" si="9"/>
        <v>6343</v>
      </c>
      <c r="O45" s="17"/>
      <c r="P45" s="87">
        <f t="shared" si="8"/>
        <v>3793</v>
      </c>
      <c r="Q45" s="87">
        <f t="shared" si="10"/>
        <v>10136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746000</v>
      </c>
      <c r="J46" s="10"/>
      <c r="K46" s="17"/>
      <c r="L46" s="81"/>
      <c r="M46" s="17"/>
      <c r="N46" s="82">
        <f t="shared" si="9"/>
        <v>6375</v>
      </c>
      <c r="O46" s="17"/>
      <c r="P46" s="87">
        <f t="shared" si="8"/>
        <v>3761</v>
      </c>
      <c r="Q46" s="87">
        <f t="shared" si="10"/>
        <v>10136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739594</v>
      </c>
      <c r="J47" s="10"/>
      <c r="K47" s="17"/>
      <c r="L47" s="81"/>
      <c r="M47" s="17"/>
      <c r="N47" s="82">
        <f t="shared" si="9"/>
        <v>6406</v>
      </c>
      <c r="O47" s="17"/>
      <c r="P47" s="87">
        <f t="shared" si="8"/>
        <v>3730</v>
      </c>
      <c r="Q47" s="87">
        <f t="shared" si="10"/>
        <v>10136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733155</v>
      </c>
      <c r="J48" s="10"/>
      <c r="K48" s="17"/>
      <c r="L48" s="81"/>
      <c r="M48" s="17"/>
      <c r="N48" s="82">
        <f t="shared" si="9"/>
        <v>6439</v>
      </c>
      <c r="O48" s="17"/>
      <c r="P48" s="87">
        <f t="shared" si="8"/>
        <v>3697</v>
      </c>
      <c r="Q48" s="87">
        <f t="shared" si="10"/>
        <v>10136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726684</v>
      </c>
      <c r="J49" s="10"/>
      <c r="K49" s="17"/>
      <c r="L49" s="81"/>
      <c r="M49" s="17"/>
      <c r="N49" s="82">
        <f t="shared" si="9"/>
        <v>6471</v>
      </c>
      <c r="O49" s="17"/>
      <c r="P49" s="87">
        <f t="shared" si="8"/>
        <v>3665</v>
      </c>
      <c r="Q49" s="87">
        <f t="shared" si="10"/>
        <v>10136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720181</v>
      </c>
      <c r="J50" s="10"/>
      <c r="K50" s="17"/>
      <c r="L50" s="81"/>
      <c r="M50" s="17"/>
      <c r="N50" s="82">
        <f t="shared" si="9"/>
        <v>6503</v>
      </c>
      <c r="O50" s="17"/>
      <c r="P50" s="87">
        <f t="shared" si="8"/>
        <v>3633</v>
      </c>
      <c r="Q50" s="87">
        <f t="shared" si="10"/>
        <v>10136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713645</v>
      </c>
      <c r="J51" s="10"/>
      <c r="K51" s="17"/>
      <c r="L51" s="81"/>
      <c r="M51" s="17"/>
      <c r="N51" s="82">
        <f t="shared" si="9"/>
        <v>6536</v>
      </c>
      <c r="O51" s="17"/>
      <c r="P51" s="87">
        <f t="shared" si="8"/>
        <v>3600</v>
      </c>
      <c r="Q51" s="87">
        <f t="shared" si="10"/>
        <v>10136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707077</v>
      </c>
      <c r="J52" s="10"/>
      <c r="K52" s="17"/>
      <c r="L52" s="81"/>
      <c r="M52" s="17"/>
      <c r="N52" s="82">
        <f t="shared" si="9"/>
        <v>6568</v>
      </c>
      <c r="O52" s="17"/>
      <c r="P52" s="87">
        <f t="shared" si="8"/>
        <v>3568</v>
      </c>
      <c r="Q52" s="87">
        <f t="shared" si="10"/>
        <v>10136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700476</v>
      </c>
      <c r="J53" s="10"/>
      <c r="K53" s="17"/>
      <c r="L53" s="81"/>
      <c r="M53" s="17"/>
      <c r="N53" s="82">
        <f t="shared" si="9"/>
        <v>6601</v>
      </c>
      <c r="O53" s="17"/>
      <c r="P53" s="87">
        <f t="shared" si="8"/>
        <v>3535</v>
      </c>
      <c r="Q53" s="87">
        <f t="shared" si="10"/>
        <v>10136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693842</v>
      </c>
      <c r="J54" s="10"/>
      <c r="K54" s="17"/>
      <c r="L54" s="81"/>
      <c r="M54" s="17"/>
      <c r="N54" s="82">
        <f t="shared" si="9"/>
        <v>6634</v>
      </c>
      <c r="O54" s="17"/>
      <c r="P54" s="87">
        <f t="shared" si="8"/>
        <v>3502</v>
      </c>
      <c r="Q54" s="87">
        <f t="shared" si="10"/>
        <v>10136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687175</v>
      </c>
      <c r="J55" s="10"/>
      <c r="K55" s="17"/>
      <c r="L55" s="81"/>
      <c r="M55" s="17"/>
      <c r="N55" s="82">
        <f t="shared" si="9"/>
        <v>6667</v>
      </c>
      <c r="O55" s="17"/>
      <c r="P55" s="87">
        <f t="shared" si="8"/>
        <v>3469</v>
      </c>
      <c r="Q55" s="87">
        <f t="shared" si="10"/>
        <v>10136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680474</v>
      </c>
      <c r="J56" s="10"/>
      <c r="K56" s="17"/>
      <c r="L56" s="81"/>
      <c r="M56" s="17"/>
      <c r="N56" s="82">
        <f t="shared" si="9"/>
        <v>6701</v>
      </c>
      <c r="O56" s="17"/>
      <c r="P56" s="87">
        <f t="shared" si="8"/>
        <v>3435</v>
      </c>
      <c r="Q56" s="87">
        <f t="shared" si="10"/>
        <v>10136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673740</v>
      </c>
      <c r="J57" s="10"/>
      <c r="K57" s="17"/>
      <c r="L57" s="81"/>
      <c r="M57" s="17"/>
      <c r="N57" s="82">
        <f t="shared" si="9"/>
        <v>6734</v>
      </c>
      <c r="O57" s="17"/>
      <c r="P57" s="87">
        <f t="shared" si="8"/>
        <v>3402</v>
      </c>
      <c r="Q57" s="87">
        <f t="shared" si="10"/>
        <v>10136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666972</v>
      </c>
      <c r="J58" s="10"/>
      <c r="K58" s="17"/>
      <c r="L58" s="81"/>
      <c r="M58" s="17"/>
      <c r="N58" s="82">
        <f t="shared" si="9"/>
        <v>6768</v>
      </c>
      <c r="O58" s="17"/>
      <c r="P58" s="87">
        <f t="shared" si="8"/>
        <v>3368</v>
      </c>
      <c r="Q58" s="87">
        <f t="shared" si="10"/>
        <v>10136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660170</v>
      </c>
      <c r="J59" s="10"/>
      <c r="K59" s="17"/>
      <c r="L59" s="81"/>
      <c r="M59" s="17"/>
      <c r="N59" s="82">
        <f t="shared" si="9"/>
        <v>6802</v>
      </c>
      <c r="O59" s="17"/>
      <c r="P59" s="87">
        <f t="shared" si="8"/>
        <v>3334</v>
      </c>
      <c r="Q59" s="87">
        <f t="shared" si="10"/>
        <v>10136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653334</v>
      </c>
      <c r="J60" s="10"/>
      <c r="K60" s="17"/>
      <c r="L60" s="81"/>
      <c r="M60" s="17"/>
      <c r="N60" s="82">
        <f t="shared" si="9"/>
        <v>6836</v>
      </c>
      <c r="O60" s="17"/>
      <c r="P60" s="87">
        <f t="shared" si="8"/>
        <v>3300</v>
      </c>
      <c r="Q60" s="87">
        <f t="shared" si="10"/>
        <v>10136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646464</v>
      </c>
      <c r="J61" s="10"/>
      <c r="K61" s="17"/>
      <c r="L61" s="81"/>
      <c r="M61" s="17"/>
      <c r="N61" s="82">
        <f t="shared" si="9"/>
        <v>6870</v>
      </c>
      <c r="O61" s="17"/>
      <c r="P61" s="87">
        <f t="shared" si="8"/>
        <v>3266</v>
      </c>
      <c r="Q61" s="87">
        <f t="shared" si="10"/>
        <v>10136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639560</v>
      </c>
      <c r="J62" s="10"/>
      <c r="K62" s="17"/>
      <c r="L62" s="81"/>
      <c r="M62" s="17"/>
      <c r="N62" s="82">
        <f t="shared" si="9"/>
        <v>6904</v>
      </c>
      <c r="O62" s="17"/>
      <c r="P62" s="87">
        <f t="shared" si="8"/>
        <v>3232</v>
      </c>
      <c r="Q62" s="87">
        <f t="shared" si="10"/>
        <v>10136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632621</v>
      </c>
      <c r="J63" s="10"/>
      <c r="K63" s="17"/>
      <c r="L63" s="81"/>
      <c r="M63" s="17"/>
      <c r="N63" s="82">
        <f t="shared" si="9"/>
        <v>6939</v>
      </c>
      <c r="O63" s="17"/>
      <c r="P63" s="87">
        <f t="shared" si="8"/>
        <v>3197</v>
      </c>
      <c r="Q63" s="87">
        <f t="shared" si="10"/>
        <v>10136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625648</v>
      </c>
      <c r="J64" s="10"/>
      <c r="K64" s="17"/>
      <c r="L64" s="81"/>
      <c r="M64" s="17"/>
      <c r="N64" s="82">
        <f t="shared" si="9"/>
        <v>6973</v>
      </c>
      <c r="O64" s="17"/>
      <c r="P64" s="87">
        <f t="shared" si="8"/>
        <v>3163</v>
      </c>
      <c r="Q64" s="87">
        <f t="shared" si="10"/>
        <v>10136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618640</v>
      </c>
      <c r="J65" s="10"/>
      <c r="K65" s="17"/>
      <c r="L65" s="81"/>
      <c r="M65" s="17"/>
      <c r="N65" s="82">
        <f t="shared" si="9"/>
        <v>7008</v>
      </c>
      <c r="O65" s="17"/>
      <c r="P65" s="87">
        <f t="shared" si="8"/>
        <v>3128</v>
      </c>
      <c r="Q65" s="87">
        <f t="shared" si="10"/>
        <v>10136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611597</v>
      </c>
      <c r="J66" s="10"/>
      <c r="K66" s="17"/>
      <c r="L66" s="81"/>
      <c r="M66" s="17"/>
      <c r="N66" s="82">
        <f t="shared" si="9"/>
        <v>7043</v>
      </c>
      <c r="O66" s="17"/>
      <c r="P66" s="87">
        <f t="shared" si="8"/>
        <v>3093</v>
      </c>
      <c r="Q66" s="87">
        <f t="shared" si="10"/>
        <v>10136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604518</v>
      </c>
      <c r="J67" s="10"/>
      <c r="K67" s="17"/>
      <c r="L67" s="81"/>
      <c r="M67" s="17"/>
      <c r="N67" s="82">
        <f t="shared" si="9"/>
        <v>7079</v>
      </c>
      <c r="O67" s="17"/>
      <c r="P67" s="87">
        <f t="shared" si="8"/>
        <v>3057</v>
      </c>
      <c r="Q67" s="87">
        <f t="shared" si="10"/>
        <v>10136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597404</v>
      </c>
      <c r="J68" s="10"/>
      <c r="K68" s="17"/>
      <c r="L68" s="81"/>
      <c r="M68" s="17"/>
      <c r="N68" s="82">
        <f t="shared" si="9"/>
        <v>7114</v>
      </c>
      <c r="O68" s="17"/>
      <c r="P68" s="87">
        <f t="shared" si="8"/>
        <v>3022</v>
      </c>
      <c r="Q68" s="87">
        <f t="shared" si="10"/>
        <v>10136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590255</v>
      </c>
      <c r="J69" s="10"/>
      <c r="K69" s="17"/>
      <c r="L69" s="81"/>
      <c r="M69" s="17"/>
      <c r="N69" s="82">
        <f t="shared" si="9"/>
        <v>7149</v>
      </c>
      <c r="O69" s="17"/>
      <c r="P69" s="87">
        <f t="shared" si="8"/>
        <v>2987</v>
      </c>
      <c r="Q69" s="87">
        <f t="shared" si="10"/>
        <v>10136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583070</v>
      </c>
      <c r="J70" s="10"/>
      <c r="K70" s="17"/>
      <c r="L70" s="90"/>
      <c r="M70" s="91"/>
      <c r="N70" s="82">
        <f t="shared" si="9"/>
        <v>7185</v>
      </c>
      <c r="O70" s="17"/>
      <c r="P70" s="87">
        <f t="shared" si="8"/>
        <v>2951</v>
      </c>
      <c r="Q70" s="87">
        <f t="shared" si="10"/>
        <v>10136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575849</v>
      </c>
      <c r="J71" s="10"/>
      <c r="K71" s="17"/>
      <c r="L71" s="90"/>
      <c r="M71" s="91"/>
      <c r="N71" s="82">
        <f t="shared" si="9"/>
        <v>7221</v>
      </c>
      <c r="O71" s="17"/>
      <c r="P71" s="87">
        <f t="shared" si="8"/>
        <v>2915</v>
      </c>
      <c r="Q71" s="87">
        <f t="shared" si="10"/>
        <v>10136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568592</v>
      </c>
      <c r="J72" s="10"/>
      <c r="K72" s="17"/>
      <c r="L72" s="90"/>
      <c r="M72" s="91"/>
      <c r="N72" s="82">
        <f t="shared" si="9"/>
        <v>7257</v>
      </c>
      <c r="O72" s="17"/>
      <c r="P72" s="87">
        <f t="shared" si="8"/>
        <v>2879</v>
      </c>
      <c r="Q72" s="87">
        <f t="shared" si="10"/>
        <v>10136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561298</v>
      </c>
      <c r="J73" s="10"/>
      <c r="K73" s="17"/>
      <c r="L73" s="90"/>
      <c r="M73" s="91"/>
      <c r="N73" s="82">
        <f t="shared" si="9"/>
        <v>7294</v>
      </c>
      <c r="O73" s="17"/>
      <c r="P73" s="87">
        <f t="shared" si="8"/>
        <v>2842</v>
      </c>
      <c r="Q73" s="87">
        <f t="shared" si="10"/>
        <v>10136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553968</v>
      </c>
      <c r="J74" s="10"/>
      <c r="K74" s="17"/>
      <c r="L74" s="90"/>
      <c r="M74" s="91"/>
      <c r="N74" s="82">
        <f t="shared" si="9"/>
        <v>7330</v>
      </c>
      <c r="O74" s="17"/>
      <c r="P74" s="87">
        <f t="shared" si="8"/>
        <v>2806</v>
      </c>
      <c r="Q74" s="87">
        <f t="shared" si="10"/>
        <v>10136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546601</v>
      </c>
      <c r="J75" s="10"/>
      <c r="K75" s="17"/>
      <c r="L75" s="90"/>
      <c r="M75" s="91"/>
      <c r="N75" s="82">
        <f t="shared" si="9"/>
        <v>7367</v>
      </c>
      <c r="O75" s="17"/>
      <c r="P75" s="87">
        <f t="shared" si="8"/>
        <v>2769</v>
      </c>
      <c r="Q75" s="87">
        <f t="shared" si="10"/>
        <v>10136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539198</v>
      </c>
      <c r="J76" s="10"/>
      <c r="K76" s="17"/>
      <c r="L76" s="90"/>
      <c r="M76" s="91"/>
      <c r="N76" s="82">
        <f t="shared" si="9"/>
        <v>7403</v>
      </c>
      <c r="O76" s="17"/>
      <c r="P76" s="87">
        <f t="shared" si="8"/>
        <v>2733</v>
      </c>
      <c r="Q76" s="87">
        <f t="shared" si="10"/>
        <v>10136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531757</v>
      </c>
      <c r="J77" s="10"/>
      <c r="K77" s="17"/>
      <c r="L77" s="90"/>
      <c r="M77" s="91"/>
      <c r="N77" s="82">
        <f t="shared" si="9"/>
        <v>7441</v>
      </c>
      <c r="O77" s="17"/>
      <c r="P77" s="87">
        <f t="shared" si="8"/>
        <v>2695</v>
      </c>
      <c r="Q77" s="87">
        <f t="shared" si="10"/>
        <v>10136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524279</v>
      </c>
      <c r="J78" s="10"/>
      <c r="K78" s="17"/>
      <c r="L78" s="81"/>
      <c r="M78" s="17"/>
      <c r="N78" s="82">
        <f t="shared" si="9"/>
        <v>7478</v>
      </c>
      <c r="O78" s="17"/>
      <c r="P78" s="87">
        <f t="shared" si="8"/>
        <v>2658</v>
      </c>
      <c r="Q78" s="87">
        <f t="shared" si="10"/>
        <v>10136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516764</v>
      </c>
      <c r="J79" s="10"/>
      <c r="K79" s="17"/>
      <c r="L79" s="81"/>
      <c r="M79" s="17"/>
      <c r="N79" s="82">
        <f t="shared" si="9"/>
        <v>7515</v>
      </c>
      <c r="O79" s="17"/>
      <c r="P79" s="87">
        <f t="shared" si="8"/>
        <v>2621</v>
      </c>
      <c r="Q79" s="87">
        <f t="shared" si="10"/>
        <v>10136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509211</v>
      </c>
      <c r="J80" s="10"/>
      <c r="K80" s="17"/>
      <c r="L80" s="81"/>
      <c r="M80" s="17"/>
      <c r="N80" s="82">
        <f t="shared" si="9"/>
        <v>7553</v>
      </c>
      <c r="O80" s="17"/>
      <c r="P80" s="87">
        <f t="shared" si="8"/>
        <v>2583</v>
      </c>
      <c r="Q80" s="87">
        <f t="shared" si="10"/>
        <v>10136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501621</v>
      </c>
      <c r="J81" s="10"/>
      <c r="K81" s="17"/>
      <c r="L81" s="81"/>
      <c r="M81" s="17"/>
      <c r="N81" s="82">
        <f t="shared" si="9"/>
        <v>7590</v>
      </c>
      <c r="O81" s="17"/>
      <c r="P81" s="87">
        <f t="shared" si="8"/>
        <v>2546</v>
      </c>
      <c r="Q81" s="87">
        <f t="shared" si="10"/>
        <v>10136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493993</v>
      </c>
      <c r="J82" s="10"/>
      <c r="K82" s="17"/>
      <c r="L82" s="81"/>
      <c r="M82" s="17"/>
      <c r="N82" s="82">
        <f t="shared" si="9"/>
        <v>7628</v>
      </c>
      <c r="O82" s="17"/>
      <c r="P82" s="87">
        <f t="shared" si="8"/>
        <v>2508</v>
      </c>
      <c r="Q82" s="87">
        <f t="shared" si="10"/>
        <v>10136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486326</v>
      </c>
      <c r="J83" s="10"/>
      <c r="K83" s="17"/>
      <c r="L83" s="81"/>
      <c r="M83" s="17"/>
      <c r="N83" s="82">
        <f t="shared" si="9"/>
        <v>7667</v>
      </c>
      <c r="O83" s="17"/>
      <c r="P83" s="87">
        <f t="shared" si="8"/>
        <v>2469</v>
      </c>
      <c r="Q83" s="87">
        <f t="shared" si="10"/>
        <v>10136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478621</v>
      </c>
      <c r="J84" s="10"/>
      <c r="K84" s="17"/>
      <c r="L84" s="81"/>
      <c r="M84" s="17"/>
      <c r="N84" s="82">
        <f t="shared" si="9"/>
        <v>7705</v>
      </c>
      <c r="O84" s="17"/>
      <c r="P84" s="87">
        <f t="shared" si="8"/>
        <v>2431</v>
      </c>
      <c r="Q84" s="87">
        <f t="shared" si="10"/>
        <v>10136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470878</v>
      </c>
      <c r="J85" s="10"/>
      <c r="K85" s="17"/>
      <c r="L85" s="81"/>
      <c r="M85" s="17"/>
      <c r="N85" s="82">
        <f t="shared" si="9"/>
        <v>7743</v>
      </c>
      <c r="O85" s="17"/>
      <c r="P85" s="87">
        <f t="shared" si="8"/>
        <v>2393</v>
      </c>
      <c r="Q85" s="87">
        <f t="shared" si="10"/>
        <v>10136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463096</v>
      </c>
      <c r="J86" s="10"/>
      <c r="K86" s="17"/>
      <c r="L86" s="81"/>
      <c r="M86" s="17"/>
      <c r="N86" s="82">
        <f t="shared" si="9"/>
        <v>7782</v>
      </c>
      <c r="O86" s="17"/>
      <c r="P86" s="87">
        <f t="shared" si="8"/>
        <v>2354</v>
      </c>
      <c r="Q86" s="87">
        <f t="shared" si="10"/>
        <v>10136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455275</v>
      </c>
      <c r="J87" s="10"/>
      <c r="K87" s="17"/>
      <c r="L87" s="81"/>
      <c r="M87" s="17"/>
      <c r="N87" s="82">
        <f t="shared" si="9"/>
        <v>7821</v>
      </c>
      <c r="O87" s="17"/>
      <c r="P87" s="87">
        <f t="shared" si="8"/>
        <v>2315</v>
      </c>
      <c r="Q87" s="87">
        <f t="shared" si="10"/>
        <v>10136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447415</v>
      </c>
      <c r="J88" s="10"/>
      <c r="K88" s="17"/>
      <c r="L88" s="81"/>
      <c r="M88" s="17"/>
      <c r="N88" s="82">
        <f t="shared" si="9"/>
        <v>7860</v>
      </c>
      <c r="O88" s="17"/>
      <c r="P88" s="87">
        <f t="shared" si="8"/>
        <v>2276</v>
      </c>
      <c r="Q88" s="87">
        <f t="shared" si="10"/>
        <v>10136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439516</v>
      </c>
      <c r="J89" s="10"/>
      <c r="K89" s="17"/>
      <c r="L89" s="81"/>
      <c r="M89" s="17"/>
      <c r="N89" s="82">
        <f t="shared" si="9"/>
        <v>7899</v>
      </c>
      <c r="O89" s="17"/>
      <c r="P89" s="87">
        <f t="shared" si="8"/>
        <v>2237</v>
      </c>
      <c r="Q89" s="87">
        <f t="shared" si="10"/>
        <v>10136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431577</v>
      </c>
      <c r="J90" s="10"/>
      <c r="K90" s="17"/>
      <c r="L90" s="81"/>
      <c r="M90" s="17"/>
      <c r="N90" s="82">
        <f t="shared" si="9"/>
        <v>7939</v>
      </c>
      <c r="O90" s="17"/>
      <c r="P90" s="87">
        <f t="shared" si="8"/>
        <v>2197</v>
      </c>
      <c r="Q90" s="87">
        <f t="shared" si="10"/>
        <v>10136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423598</v>
      </c>
      <c r="J91" s="10"/>
      <c r="K91" s="17"/>
      <c r="L91" s="81"/>
      <c r="M91" s="17"/>
      <c r="N91" s="82">
        <f t="shared" si="9"/>
        <v>7979</v>
      </c>
      <c r="O91" s="17"/>
      <c r="P91" s="87">
        <f t="shared" si="8"/>
        <v>2157</v>
      </c>
      <c r="Q91" s="87">
        <f t="shared" si="10"/>
        <v>10136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415579</v>
      </c>
      <c r="J92" s="10"/>
      <c r="K92" s="17"/>
      <c r="L92" s="81"/>
      <c r="M92" s="17"/>
      <c r="N92" s="82">
        <f t="shared" si="9"/>
        <v>8019</v>
      </c>
      <c r="O92" s="17"/>
      <c r="P92" s="87">
        <f t="shared" si="8"/>
        <v>2117</v>
      </c>
      <c r="Q92" s="87">
        <f t="shared" si="10"/>
        <v>10136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407520</v>
      </c>
      <c r="J93" s="10"/>
      <c r="K93" s="17"/>
      <c r="L93" s="81"/>
      <c r="M93" s="17"/>
      <c r="N93" s="82">
        <f t="shared" si="9"/>
        <v>8059</v>
      </c>
      <c r="O93" s="17"/>
      <c r="P93" s="87">
        <f t="shared" si="8"/>
        <v>2077</v>
      </c>
      <c r="Q93" s="87">
        <f t="shared" si="10"/>
        <v>10136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399421</v>
      </c>
      <c r="J94" s="10"/>
      <c r="K94" s="17"/>
      <c r="L94" s="81"/>
      <c r="M94" s="17"/>
      <c r="N94" s="82">
        <f t="shared" si="9"/>
        <v>8099</v>
      </c>
      <c r="O94" s="17"/>
      <c r="P94" s="87">
        <f t="shared" si="8"/>
        <v>2037</v>
      </c>
      <c r="Q94" s="87">
        <f t="shared" si="10"/>
        <v>10136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391282</v>
      </c>
      <c r="J95" s="10"/>
      <c r="K95" s="17"/>
      <c r="L95" s="81"/>
      <c r="M95" s="17"/>
      <c r="N95" s="82">
        <f t="shared" si="9"/>
        <v>8139</v>
      </c>
      <c r="O95" s="17"/>
      <c r="P95" s="87">
        <f t="shared" si="8"/>
        <v>1997</v>
      </c>
      <c r="Q95" s="87">
        <f t="shared" si="10"/>
        <v>10136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383102</v>
      </c>
      <c r="J96" s="10"/>
      <c r="K96" s="17"/>
      <c r="L96" s="81"/>
      <c r="M96" s="17"/>
      <c r="N96" s="82">
        <f t="shared" si="9"/>
        <v>8180</v>
      </c>
      <c r="O96" s="17"/>
      <c r="P96" s="87">
        <f t="shared" si="8"/>
        <v>1956</v>
      </c>
      <c r="Q96" s="87">
        <f t="shared" si="10"/>
        <v>10136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374881</v>
      </c>
      <c r="J97" s="10"/>
      <c r="K97" s="17"/>
      <c r="L97" s="81"/>
      <c r="M97" s="17"/>
      <c r="N97" s="82">
        <f t="shared" si="9"/>
        <v>8221</v>
      </c>
      <c r="O97" s="17"/>
      <c r="P97" s="87">
        <f t="shared" si="8"/>
        <v>1915</v>
      </c>
      <c r="Q97" s="87">
        <f t="shared" si="10"/>
        <v>10136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366619</v>
      </c>
      <c r="J98" s="10"/>
      <c r="K98" s="17"/>
      <c r="L98" s="81"/>
      <c r="M98" s="17"/>
      <c r="N98" s="82">
        <f t="shared" si="9"/>
        <v>8262</v>
      </c>
      <c r="O98" s="17"/>
      <c r="P98" s="87">
        <f t="shared" si="8"/>
        <v>1874</v>
      </c>
      <c r="Q98" s="87">
        <f t="shared" si="10"/>
        <v>10136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358316</v>
      </c>
      <c r="J99" s="10"/>
      <c r="K99" s="17"/>
      <c r="L99" s="81"/>
      <c r="M99" s="17"/>
      <c r="N99" s="82">
        <f t="shared" si="9"/>
        <v>8303</v>
      </c>
      <c r="O99" s="17"/>
      <c r="P99" s="87">
        <f t="shared" si="8"/>
        <v>1833</v>
      </c>
      <c r="Q99" s="87">
        <f t="shared" si="10"/>
        <v>10136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349971</v>
      </c>
      <c r="J100" s="10"/>
      <c r="K100" s="17"/>
      <c r="L100" s="81"/>
      <c r="M100" s="17"/>
      <c r="N100" s="82">
        <f t="shared" si="9"/>
        <v>8345</v>
      </c>
      <c r="O100" s="17"/>
      <c r="P100" s="87">
        <f t="shared" si="8"/>
        <v>1791</v>
      </c>
      <c r="Q100" s="87">
        <f t="shared" si="10"/>
        <v>10136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341584</v>
      </c>
      <c r="J101" s="10"/>
      <c r="K101" s="17"/>
      <c r="L101" s="81"/>
      <c r="M101" s="17"/>
      <c r="N101" s="82">
        <f t="shared" si="9"/>
        <v>8387</v>
      </c>
      <c r="O101" s="17"/>
      <c r="P101" s="87">
        <f t="shared" si="8"/>
        <v>1749</v>
      </c>
      <c r="Q101" s="87">
        <f t="shared" si="10"/>
        <v>10136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333155</v>
      </c>
      <c r="J102" s="10"/>
      <c r="K102" s="17"/>
      <c r="L102" s="81"/>
      <c r="M102" s="17"/>
      <c r="N102" s="82">
        <f t="shared" si="9"/>
        <v>8429</v>
      </c>
      <c r="O102" s="17"/>
      <c r="P102" s="87">
        <f t="shared" si="8"/>
        <v>1707</v>
      </c>
      <c r="Q102" s="87">
        <f t="shared" si="10"/>
        <v>10136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324684</v>
      </c>
      <c r="J103" s="10"/>
      <c r="K103" s="17"/>
      <c r="L103" s="81"/>
      <c r="M103" s="17"/>
      <c r="N103" s="82">
        <f t="shared" si="9"/>
        <v>8471</v>
      </c>
      <c r="O103" s="17"/>
      <c r="P103" s="87">
        <f t="shared" si="8"/>
        <v>1665</v>
      </c>
      <c r="Q103" s="87">
        <f t="shared" si="10"/>
        <v>10136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316171</v>
      </c>
      <c r="J104" s="10"/>
      <c r="K104" s="17"/>
      <c r="L104" s="81"/>
      <c r="M104" s="17"/>
      <c r="N104" s="82">
        <f t="shared" si="9"/>
        <v>8513</v>
      </c>
      <c r="O104" s="17"/>
      <c r="P104" s="87">
        <f t="shared" si="8"/>
        <v>1623</v>
      </c>
      <c r="Q104" s="87">
        <f t="shared" si="10"/>
        <v>10136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307615</v>
      </c>
      <c r="J105" s="10"/>
      <c r="K105" s="17"/>
      <c r="L105" s="81"/>
      <c r="M105" s="17"/>
      <c r="N105" s="82">
        <f t="shared" si="9"/>
        <v>8556</v>
      </c>
      <c r="O105" s="17"/>
      <c r="P105" s="87">
        <f t="shared" si="8"/>
        <v>1580</v>
      </c>
      <c r="Q105" s="87">
        <f t="shared" si="10"/>
        <v>10136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299017</v>
      </c>
      <c r="J106" s="10"/>
      <c r="K106" s="17"/>
      <c r="L106" s="81"/>
      <c r="M106" s="17"/>
      <c r="N106" s="82">
        <f t="shared" si="9"/>
        <v>8598</v>
      </c>
      <c r="O106" s="17"/>
      <c r="P106" s="87">
        <f t="shared" si="8"/>
        <v>1538</v>
      </c>
      <c r="Q106" s="87">
        <f t="shared" si="10"/>
        <v>10136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290376</v>
      </c>
      <c r="J107" s="10"/>
      <c r="K107" s="17"/>
      <c r="L107" s="81"/>
      <c r="M107" s="17"/>
      <c r="N107" s="82">
        <f t="shared" si="9"/>
        <v>8641</v>
      </c>
      <c r="O107" s="17"/>
      <c r="P107" s="87">
        <f t="shared" si="8"/>
        <v>1495</v>
      </c>
      <c r="Q107" s="87">
        <f t="shared" si="10"/>
        <v>10136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281691</v>
      </c>
      <c r="J108" s="10"/>
      <c r="K108" s="17"/>
      <c r="L108" s="81"/>
      <c r="M108" s="17"/>
      <c r="N108" s="82">
        <f t="shared" si="9"/>
        <v>8685</v>
      </c>
      <c r="O108" s="17"/>
      <c r="P108" s="87">
        <f t="shared" si="8"/>
        <v>1451</v>
      </c>
      <c r="Q108" s="87">
        <f t="shared" si="10"/>
        <v>10136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272963</v>
      </c>
      <c r="J109" s="10"/>
      <c r="K109" s="17"/>
      <c r="L109" s="81"/>
      <c r="M109" s="17"/>
      <c r="N109" s="82">
        <f t="shared" si="9"/>
        <v>8728</v>
      </c>
      <c r="O109" s="17"/>
      <c r="P109" s="87">
        <f t="shared" si="8"/>
        <v>1408</v>
      </c>
      <c r="Q109" s="87">
        <f t="shared" si="10"/>
        <v>10136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264191</v>
      </c>
      <c r="J110" s="10"/>
      <c r="K110" s="17"/>
      <c r="L110" s="81"/>
      <c r="M110" s="17"/>
      <c r="N110" s="82">
        <f t="shared" si="9"/>
        <v>8772</v>
      </c>
      <c r="O110" s="17"/>
      <c r="P110" s="87">
        <f t="shared" si="8"/>
        <v>1364</v>
      </c>
      <c r="Q110" s="87">
        <f t="shared" si="10"/>
        <v>10136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255375</v>
      </c>
      <c r="J111" s="10"/>
      <c r="K111" s="17"/>
      <c r="L111" s="81"/>
      <c r="M111" s="17"/>
      <c r="N111" s="82">
        <f t="shared" si="9"/>
        <v>8816</v>
      </c>
      <c r="O111" s="17"/>
      <c r="P111" s="87">
        <f t="shared" si="8"/>
        <v>1320</v>
      </c>
      <c r="Q111" s="87">
        <f t="shared" si="10"/>
        <v>10136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246515</v>
      </c>
      <c r="J112" s="10"/>
      <c r="K112" s="17"/>
      <c r="L112" s="81"/>
      <c r="M112" s="17"/>
      <c r="N112" s="82">
        <f t="shared" si="9"/>
        <v>8860</v>
      </c>
      <c r="O112" s="17"/>
      <c r="P112" s="87">
        <f t="shared" si="8"/>
        <v>1276</v>
      </c>
      <c r="Q112" s="87">
        <f t="shared" si="10"/>
        <v>10136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237611</v>
      </c>
      <c r="J113" s="10"/>
      <c r="K113" s="17"/>
      <c r="L113" s="81"/>
      <c r="M113" s="17"/>
      <c r="N113" s="82">
        <f t="shared" si="9"/>
        <v>8904</v>
      </c>
      <c r="O113" s="17"/>
      <c r="P113" s="87">
        <f t="shared" si="8"/>
        <v>1232</v>
      </c>
      <c r="Q113" s="87">
        <f t="shared" si="10"/>
        <v>10136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228663</v>
      </c>
      <c r="J114" s="10"/>
      <c r="K114" s="17"/>
      <c r="L114" s="81"/>
      <c r="M114" s="17"/>
      <c r="N114" s="82">
        <f t="shared" si="9"/>
        <v>8948</v>
      </c>
      <c r="O114" s="17"/>
      <c r="P114" s="87">
        <f t="shared" si="8"/>
        <v>1188</v>
      </c>
      <c r="Q114" s="87">
        <f t="shared" si="10"/>
        <v>10136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219670</v>
      </c>
      <c r="J115" s="10"/>
      <c r="K115" s="17"/>
      <c r="L115" s="81"/>
      <c r="M115" s="17"/>
      <c r="N115" s="82">
        <f t="shared" si="9"/>
        <v>8993</v>
      </c>
      <c r="O115" s="17"/>
      <c r="P115" s="87">
        <f t="shared" si="8"/>
        <v>1143</v>
      </c>
      <c r="Q115" s="87">
        <f t="shared" si="10"/>
        <v>10136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210632</v>
      </c>
      <c r="J116" s="10"/>
      <c r="K116" s="17"/>
      <c r="L116" s="81"/>
      <c r="M116" s="17"/>
      <c r="N116" s="82">
        <f t="shared" si="9"/>
        <v>9038</v>
      </c>
      <c r="O116" s="17"/>
      <c r="P116" s="87">
        <f t="shared" si="8"/>
        <v>1098</v>
      </c>
      <c r="Q116" s="87">
        <f t="shared" si="10"/>
        <v>10136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201549</v>
      </c>
      <c r="J117" s="10"/>
      <c r="K117" s="17"/>
      <c r="L117" s="81"/>
      <c r="M117" s="17"/>
      <c r="N117" s="82">
        <f t="shared" si="9"/>
        <v>9083</v>
      </c>
      <c r="O117" s="17"/>
      <c r="P117" s="87">
        <f t="shared" si="8"/>
        <v>1053</v>
      </c>
      <c r="Q117" s="87">
        <f t="shared" si="10"/>
        <v>10136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192420</v>
      </c>
      <c r="J118" s="10"/>
      <c r="K118" s="17"/>
      <c r="L118" s="81"/>
      <c r="M118" s="17"/>
      <c r="N118" s="82">
        <f t="shared" si="9"/>
        <v>9129</v>
      </c>
      <c r="O118" s="17"/>
      <c r="P118" s="87">
        <f t="shared" si="8"/>
        <v>1007</v>
      </c>
      <c r="Q118" s="87">
        <f t="shared" si="10"/>
        <v>10136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183246</v>
      </c>
      <c r="J119" s="10"/>
      <c r="K119" s="17"/>
      <c r="L119" s="81"/>
      <c r="M119" s="17"/>
      <c r="N119" s="82">
        <f t="shared" si="9"/>
        <v>9174</v>
      </c>
      <c r="O119" s="17"/>
      <c r="P119" s="87">
        <f t="shared" si="8"/>
        <v>962</v>
      </c>
      <c r="Q119" s="87">
        <f t="shared" si="10"/>
        <v>10136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174026</v>
      </c>
      <c r="J120" s="10"/>
      <c r="K120" s="17"/>
      <c r="L120" s="81"/>
      <c r="M120" s="17"/>
      <c r="N120" s="82">
        <f t="shared" si="9"/>
        <v>9220</v>
      </c>
      <c r="O120" s="17"/>
      <c r="P120" s="87">
        <f t="shared" si="8"/>
        <v>916</v>
      </c>
      <c r="Q120" s="87">
        <f t="shared" si="10"/>
        <v>10136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164760</v>
      </c>
      <c r="J121" s="10"/>
      <c r="K121" s="17"/>
      <c r="L121" s="81"/>
      <c r="M121" s="17"/>
      <c r="N121" s="82">
        <f t="shared" si="9"/>
        <v>9266</v>
      </c>
      <c r="O121" s="17"/>
      <c r="P121" s="87">
        <f t="shared" si="8"/>
        <v>870</v>
      </c>
      <c r="Q121" s="87">
        <f t="shared" si="10"/>
        <v>10136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155447</v>
      </c>
      <c r="J122" s="10"/>
      <c r="K122" s="17"/>
      <c r="L122" s="81"/>
      <c r="M122" s="17"/>
      <c r="N122" s="82">
        <f t="shared" si="9"/>
        <v>9313</v>
      </c>
      <c r="O122" s="17"/>
      <c r="P122" s="87">
        <f t="shared" si="8"/>
        <v>823</v>
      </c>
      <c r="Q122" s="87">
        <f t="shared" si="10"/>
        <v>10136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146088</v>
      </c>
      <c r="J123" s="10"/>
      <c r="K123" s="17"/>
      <c r="L123" s="81"/>
      <c r="M123" s="17"/>
      <c r="N123" s="82">
        <f t="shared" si="9"/>
        <v>9359</v>
      </c>
      <c r="O123" s="17"/>
      <c r="P123" s="87">
        <f t="shared" si="8"/>
        <v>777</v>
      </c>
      <c r="Q123" s="87">
        <f t="shared" si="10"/>
        <v>10136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136682</v>
      </c>
      <c r="J124" s="10"/>
      <c r="K124" s="17"/>
      <c r="L124" s="81"/>
      <c r="M124" s="17"/>
      <c r="N124" s="82">
        <f t="shared" si="9"/>
        <v>9406</v>
      </c>
      <c r="O124" s="17"/>
      <c r="P124" s="87">
        <f t="shared" si="8"/>
        <v>730</v>
      </c>
      <c r="Q124" s="87">
        <f t="shared" si="10"/>
        <v>10136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127229</v>
      </c>
      <c r="J125" s="10"/>
      <c r="K125" s="17"/>
      <c r="L125" s="81"/>
      <c r="M125" s="17"/>
      <c r="N125" s="82">
        <f t="shared" si="9"/>
        <v>9453</v>
      </c>
      <c r="O125" s="17"/>
      <c r="P125" s="87">
        <f t="shared" si="8"/>
        <v>683</v>
      </c>
      <c r="Q125" s="87">
        <f t="shared" si="10"/>
        <v>10136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117729</v>
      </c>
      <c r="J126" s="10"/>
      <c r="K126" s="17"/>
      <c r="L126" s="81"/>
      <c r="M126" s="17"/>
      <c r="N126" s="82">
        <f t="shared" si="9"/>
        <v>9500</v>
      </c>
      <c r="O126" s="17"/>
      <c r="P126" s="87">
        <f t="shared" si="8"/>
        <v>636</v>
      </c>
      <c r="Q126" s="87">
        <f t="shared" si="10"/>
        <v>10136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108181</v>
      </c>
      <c r="J127" s="10"/>
      <c r="K127" s="17"/>
      <c r="L127" s="81"/>
      <c r="M127" s="17"/>
      <c r="N127" s="82">
        <f t="shared" si="9"/>
        <v>9548</v>
      </c>
      <c r="O127" s="17"/>
      <c r="P127" s="87">
        <f t="shared" si="8"/>
        <v>588</v>
      </c>
      <c r="Q127" s="87">
        <f t="shared" si="10"/>
        <v>10136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98585</v>
      </c>
      <c r="J128" s="10"/>
      <c r="K128" s="17"/>
      <c r="L128" s="81"/>
      <c r="M128" s="17"/>
      <c r="N128" s="82">
        <f t="shared" si="9"/>
        <v>9596</v>
      </c>
      <c r="O128" s="17"/>
      <c r="P128" s="87">
        <f t="shared" si="8"/>
        <v>540</v>
      </c>
      <c r="Q128" s="87">
        <f t="shared" si="10"/>
        <v>10136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88941</v>
      </c>
      <c r="J129" s="10"/>
      <c r="K129" s="17"/>
      <c r="L129" s="81"/>
      <c r="M129" s="17"/>
      <c r="N129" s="82">
        <f t="shared" si="9"/>
        <v>9644</v>
      </c>
      <c r="O129" s="17"/>
      <c r="P129" s="87">
        <f t="shared" si="8"/>
        <v>492</v>
      </c>
      <c r="Q129" s="87">
        <f t="shared" si="10"/>
        <v>10136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79249</v>
      </c>
      <c r="J130" s="10"/>
      <c r="K130" s="17"/>
      <c r="L130" s="81"/>
      <c r="M130" s="17"/>
      <c r="N130" s="82">
        <f t="shared" si="9"/>
        <v>9692</v>
      </c>
      <c r="O130" s="17"/>
      <c r="P130" s="87">
        <f t="shared" si="8"/>
        <v>444</v>
      </c>
      <c r="Q130" s="87">
        <f t="shared" si="10"/>
        <v>10136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69509</v>
      </c>
      <c r="J131" s="10"/>
      <c r="K131" s="17"/>
      <c r="L131" s="81"/>
      <c r="M131" s="17"/>
      <c r="N131" s="82">
        <f t="shared" si="9"/>
        <v>9740</v>
      </c>
      <c r="O131" s="17"/>
      <c r="P131" s="87">
        <f t="shared" si="8"/>
        <v>396</v>
      </c>
      <c r="Q131" s="87">
        <f t="shared" si="10"/>
        <v>10136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59720</v>
      </c>
      <c r="J132" s="10"/>
      <c r="K132" s="17"/>
      <c r="L132" s="81"/>
      <c r="M132" s="17"/>
      <c r="N132" s="82">
        <f t="shared" si="9"/>
        <v>9789</v>
      </c>
      <c r="O132" s="17"/>
      <c r="P132" s="87">
        <f t="shared" si="8"/>
        <v>347</v>
      </c>
      <c r="Q132" s="87">
        <f t="shared" si="10"/>
        <v>10136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49882</v>
      </c>
      <c r="J133" s="10"/>
      <c r="K133" s="17"/>
      <c r="L133" s="81"/>
      <c r="M133" s="17"/>
      <c r="N133" s="82">
        <f t="shared" si="9"/>
        <v>9838</v>
      </c>
      <c r="O133" s="17"/>
      <c r="P133" s="87">
        <f t="shared" si="8"/>
        <v>298</v>
      </c>
      <c r="Q133" s="87">
        <f t="shared" si="10"/>
        <v>10136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39995</v>
      </c>
      <c r="J134" s="10"/>
      <c r="K134" s="17"/>
      <c r="L134" s="81"/>
      <c r="M134" s="17"/>
      <c r="N134" s="82">
        <f t="shared" si="9"/>
        <v>9887</v>
      </c>
      <c r="O134" s="17"/>
      <c r="P134" s="87">
        <f t="shared" si="8"/>
        <v>249</v>
      </c>
      <c r="Q134" s="87">
        <f t="shared" si="10"/>
        <v>10136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30058</v>
      </c>
      <c r="J135" s="10"/>
      <c r="K135" s="17"/>
      <c r="L135" s="81"/>
      <c r="M135" s="17"/>
      <c r="N135" s="82">
        <f t="shared" si="9"/>
        <v>9937</v>
      </c>
      <c r="O135" s="17"/>
      <c r="P135" s="87">
        <f t="shared" si="8"/>
        <v>199</v>
      </c>
      <c r="Q135" s="87">
        <f t="shared" si="10"/>
        <v>10136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20072</v>
      </c>
      <c r="J136" s="10"/>
      <c r="K136" s="17"/>
      <c r="L136" s="81"/>
      <c r="M136" s="17"/>
      <c r="N136" s="82">
        <f t="shared" si="9"/>
        <v>9986</v>
      </c>
      <c r="O136" s="17"/>
      <c r="P136" s="87">
        <f t="shared" si="8"/>
        <v>150</v>
      </c>
      <c r="Q136" s="87">
        <f t="shared" si="10"/>
        <v>10136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10036</v>
      </c>
      <c r="J137" s="10"/>
      <c r="K137" s="17"/>
      <c r="L137" s="81"/>
      <c r="M137" s="17"/>
      <c r="N137" s="82">
        <f t="shared" si="9"/>
        <v>10036</v>
      </c>
      <c r="O137" s="17"/>
      <c r="P137" s="87">
        <f t="shared" si="8"/>
        <v>100</v>
      </c>
      <c r="Q137" s="87">
        <f t="shared" si="10"/>
        <v>10136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10036</v>
      </c>
      <c r="O138" s="17"/>
      <c r="P138" s="87">
        <f t="shared" si="8"/>
        <v>50</v>
      </c>
      <c r="Q138" s="87">
        <f t="shared" si="10"/>
        <v>10086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913000</v>
      </c>
      <c r="O139" s="17"/>
      <c r="P139" s="83">
        <f t="shared" ref="P139:Q139" si="13">SUM(P19:P138)</f>
        <v>303270</v>
      </c>
      <c r="Q139" s="83">
        <f t="shared" si="13"/>
        <v>1216270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138000.0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138000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138000</v>
      </c>
      <c r="O15" s="17"/>
      <c r="P15" s="65">
        <f t="shared" ref="P15:Q15" si="1">P139</f>
        <v>45779</v>
      </c>
      <c r="Q15" s="66">
        <f t="shared" si="1"/>
        <v>183779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138000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137158</v>
      </c>
      <c r="J19" s="10"/>
      <c r="K19" s="17"/>
      <c r="L19" s="81"/>
      <c r="M19" s="17"/>
      <c r="N19" s="82">
        <f>ROUND(($Q$19-$P$19-$L$19),0)</f>
        <v>842</v>
      </c>
      <c r="O19" s="17"/>
      <c r="P19" s="87">
        <f t="shared" ref="P19:P138" si="8">ROUNDDOWN((I18*$I$6),0)</f>
        <v>690</v>
      </c>
      <c r="Q19" s="87">
        <f>ROUND((-PMT($I$6,$I$7,$I$5,0,0)+L19),0)</f>
        <v>1532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136311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847</v>
      </c>
      <c r="O20" s="17"/>
      <c r="P20" s="87">
        <f t="shared" si="8"/>
        <v>685</v>
      </c>
      <c r="Q20" s="87">
        <f t="shared" ref="Q20:Q138" si="10">SUM(L20:P20)</f>
        <v>1532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135460</v>
      </c>
      <c r="J21" s="10"/>
      <c r="K21" s="17"/>
      <c r="L21" s="81"/>
      <c r="M21" s="17"/>
      <c r="N21" s="82">
        <f t="shared" si="9"/>
        <v>851</v>
      </c>
      <c r="O21" s="17"/>
      <c r="P21" s="87">
        <f t="shared" si="8"/>
        <v>681</v>
      </c>
      <c r="Q21" s="87">
        <f t="shared" si="10"/>
        <v>1532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134605</v>
      </c>
      <c r="J22" s="10"/>
      <c r="K22" s="17"/>
      <c r="L22" s="81"/>
      <c r="M22" s="17"/>
      <c r="N22" s="82">
        <f t="shared" si="9"/>
        <v>855</v>
      </c>
      <c r="O22" s="17"/>
      <c r="P22" s="87">
        <f t="shared" si="8"/>
        <v>677</v>
      </c>
      <c r="Q22" s="87">
        <f t="shared" si="10"/>
        <v>1532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133746</v>
      </c>
      <c r="J23" s="10"/>
      <c r="K23" s="17"/>
      <c r="L23" s="81"/>
      <c r="M23" s="17"/>
      <c r="N23" s="82">
        <f t="shared" si="9"/>
        <v>859</v>
      </c>
      <c r="O23" s="17"/>
      <c r="P23" s="87">
        <f t="shared" si="8"/>
        <v>673</v>
      </c>
      <c r="Q23" s="87">
        <f t="shared" si="10"/>
        <v>1532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132882</v>
      </c>
      <c r="J24" s="10"/>
      <c r="K24" s="17"/>
      <c r="L24" s="81"/>
      <c r="M24" s="17"/>
      <c r="N24" s="82">
        <f t="shared" si="9"/>
        <v>864</v>
      </c>
      <c r="O24" s="17"/>
      <c r="P24" s="87">
        <f t="shared" si="8"/>
        <v>668</v>
      </c>
      <c r="Q24" s="87">
        <f t="shared" si="10"/>
        <v>1532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132014</v>
      </c>
      <c r="J25" s="10"/>
      <c r="K25" s="17"/>
      <c r="L25" s="81"/>
      <c r="M25" s="17"/>
      <c r="N25" s="82">
        <f t="shared" si="9"/>
        <v>868</v>
      </c>
      <c r="O25" s="17"/>
      <c r="P25" s="87">
        <f t="shared" si="8"/>
        <v>664</v>
      </c>
      <c r="Q25" s="87">
        <f t="shared" si="10"/>
        <v>1532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131142</v>
      </c>
      <c r="J26" s="10"/>
      <c r="K26" s="17"/>
      <c r="L26" s="81"/>
      <c r="M26" s="17"/>
      <c r="N26" s="82">
        <f t="shared" si="9"/>
        <v>872</v>
      </c>
      <c r="O26" s="17"/>
      <c r="P26" s="87">
        <f t="shared" si="8"/>
        <v>660</v>
      </c>
      <c r="Q26" s="87">
        <f t="shared" si="10"/>
        <v>1532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130265</v>
      </c>
      <c r="J27" s="10"/>
      <c r="K27" s="17"/>
      <c r="L27" s="81"/>
      <c r="M27" s="17"/>
      <c r="N27" s="82">
        <f t="shared" si="9"/>
        <v>877</v>
      </c>
      <c r="O27" s="17"/>
      <c r="P27" s="87">
        <f t="shared" si="8"/>
        <v>655</v>
      </c>
      <c r="Q27" s="87">
        <f t="shared" si="10"/>
        <v>1532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129384</v>
      </c>
      <c r="J28" s="10"/>
      <c r="K28" s="17"/>
      <c r="L28" s="81"/>
      <c r="M28" s="17"/>
      <c r="N28" s="82">
        <f t="shared" si="9"/>
        <v>881</v>
      </c>
      <c r="O28" s="17"/>
      <c r="P28" s="87">
        <f t="shared" si="8"/>
        <v>651</v>
      </c>
      <c r="Q28" s="87">
        <f t="shared" si="10"/>
        <v>1532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128498</v>
      </c>
      <c r="J29" s="10"/>
      <c r="K29" s="17"/>
      <c r="L29" s="81"/>
      <c r="M29" s="17"/>
      <c r="N29" s="82">
        <f t="shared" si="9"/>
        <v>886</v>
      </c>
      <c r="O29" s="17"/>
      <c r="P29" s="87">
        <f t="shared" si="8"/>
        <v>646</v>
      </c>
      <c r="Q29" s="87">
        <f t="shared" si="10"/>
        <v>1532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127608</v>
      </c>
      <c r="J30" s="10"/>
      <c r="K30" s="17"/>
      <c r="L30" s="81"/>
      <c r="M30" s="17"/>
      <c r="N30" s="82">
        <f t="shared" si="9"/>
        <v>890</v>
      </c>
      <c r="O30" s="17"/>
      <c r="P30" s="87">
        <f t="shared" si="8"/>
        <v>642</v>
      </c>
      <c r="Q30" s="87">
        <f t="shared" si="10"/>
        <v>1532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126714</v>
      </c>
      <c r="J31" s="10"/>
      <c r="K31" s="17"/>
      <c r="L31" s="81"/>
      <c r="M31" s="17"/>
      <c r="N31" s="82">
        <f t="shared" si="9"/>
        <v>894</v>
      </c>
      <c r="O31" s="17"/>
      <c r="P31" s="87">
        <f t="shared" si="8"/>
        <v>638</v>
      </c>
      <c r="Q31" s="87">
        <f t="shared" si="10"/>
        <v>1532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125815</v>
      </c>
      <c r="J32" s="10"/>
      <c r="K32" s="17"/>
      <c r="L32" s="81"/>
      <c r="M32" s="17"/>
      <c r="N32" s="82">
        <f t="shared" si="9"/>
        <v>899</v>
      </c>
      <c r="O32" s="17"/>
      <c r="P32" s="87">
        <f t="shared" si="8"/>
        <v>633</v>
      </c>
      <c r="Q32" s="87">
        <f t="shared" si="10"/>
        <v>1532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124912</v>
      </c>
      <c r="J33" s="10"/>
      <c r="K33" s="17"/>
      <c r="L33" s="81"/>
      <c r="M33" s="17"/>
      <c r="N33" s="82">
        <f t="shared" si="9"/>
        <v>903</v>
      </c>
      <c r="O33" s="17"/>
      <c r="P33" s="87">
        <f t="shared" si="8"/>
        <v>629</v>
      </c>
      <c r="Q33" s="87">
        <f t="shared" si="10"/>
        <v>1532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124004</v>
      </c>
      <c r="J34" s="10"/>
      <c r="K34" s="17"/>
      <c r="L34" s="81"/>
      <c r="M34" s="17"/>
      <c r="N34" s="82">
        <f t="shared" si="9"/>
        <v>908</v>
      </c>
      <c r="O34" s="17"/>
      <c r="P34" s="87">
        <f t="shared" si="8"/>
        <v>624</v>
      </c>
      <c r="Q34" s="87">
        <f t="shared" si="10"/>
        <v>1532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123092</v>
      </c>
      <c r="J35" s="10"/>
      <c r="K35" s="17"/>
      <c r="L35" s="81"/>
      <c r="M35" s="17"/>
      <c r="N35" s="82">
        <f t="shared" si="9"/>
        <v>912</v>
      </c>
      <c r="O35" s="17"/>
      <c r="P35" s="87">
        <f t="shared" si="8"/>
        <v>620</v>
      </c>
      <c r="Q35" s="87">
        <f t="shared" si="10"/>
        <v>1532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122175</v>
      </c>
      <c r="J36" s="10"/>
      <c r="K36" s="17"/>
      <c r="L36" s="81"/>
      <c r="M36" s="17"/>
      <c r="N36" s="82">
        <f t="shared" si="9"/>
        <v>917</v>
      </c>
      <c r="O36" s="17"/>
      <c r="P36" s="87">
        <f t="shared" si="8"/>
        <v>615</v>
      </c>
      <c r="Q36" s="87">
        <f t="shared" si="10"/>
        <v>1532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121253</v>
      </c>
      <c r="J37" s="10"/>
      <c r="K37" s="17"/>
      <c r="L37" s="81"/>
      <c r="M37" s="17"/>
      <c r="N37" s="82">
        <f t="shared" si="9"/>
        <v>922</v>
      </c>
      <c r="O37" s="17"/>
      <c r="P37" s="87">
        <f t="shared" si="8"/>
        <v>610</v>
      </c>
      <c r="Q37" s="87">
        <f t="shared" si="10"/>
        <v>1532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120327</v>
      </c>
      <c r="J38" s="10"/>
      <c r="K38" s="17"/>
      <c r="L38" s="81"/>
      <c r="M38" s="17"/>
      <c r="N38" s="82">
        <f t="shared" si="9"/>
        <v>926</v>
      </c>
      <c r="O38" s="17"/>
      <c r="P38" s="87">
        <f t="shared" si="8"/>
        <v>606</v>
      </c>
      <c r="Q38" s="87">
        <f t="shared" si="10"/>
        <v>1532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119396</v>
      </c>
      <c r="J39" s="10"/>
      <c r="K39" s="17"/>
      <c r="L39" s="81"/>
      <c r="M39" s="17"/>
      <c r="N39" s="82">
        <f t="shared" si="9"/>
        <v>931</v>
      </c>
      <c r="O39" s="17"/>
      <c r="P39" s="87">
        <f t="shared" si="8"/>
        <v>601</v>
      </c>
      <c r="Q39" s="87">
        <f t="shared" si="10"/>
        <v>1532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118460</v>
      </c>
      <c r="J40" s="10"/>
      <c r="K40" s="17"/>
      <c r="L40" s="81"/>
      <c r="M40" s="17"/>
      <c r="N40" s="82">
        <f t="shared" si="9"/>
        <v>936</v>
      </c>
      <c r="O40" s="17"/>
      <c r="P40" s="87">
        <f t="shared" si="8"/>
        <v>596</v>
      </c>
      <c r="Q40" s="87">
        <f t="shared" si="10"/>
        <v>1532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117520</v>
      </c>
      <c r="J41" s="10"/>
      <c r="K41" s="17"/>
      <c r="L41" s="81"/>
      <c r="M41" s="17"/>
      <c r="N41" s="82">
        <f t="shared" si="9"/>
        <v>940</v>
      </c>
      <c r="O41" s="17"/>
      <c r="P41" s="87">
        <f t="shared" si="8"/>
        <v>592</v>
      </c>
      <c r="Q41" s="87">
        <f t="shared" si="10"/>
        <v>1532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116575</v>
      </c>
      <c r="J42" s="10"/>
      <c r="K42" s="17"/>
      <c r="L42" s="81"/>
      <c r="M42" s="17"/>
      <c r="N42" s="82">
        <f t="shared" si="9"/>
        <v>945</v>
      </c>
      <c r="O42" s="17"/>
      <c r="P42" s="87">
        <f t="shared" si="8"/>
        <v>587</v>
      </c>
      <c r="Q42" s="87">
        <f t="shared" si="10"/>
        <v>1532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115625</v>
      </c>
      <c r="J43" s="10"/>
      <c r="K43" s="17"/>
      <c r="L43" s="81"/>
      <c r="M43" s="17"/>
      <c r="N43" s="82">
        <f t="shared" si="9"/>
        <v>950</v>
      </c>
      <c r="O43" s="17"/>
      <c r="P43" s="87">
        <f t="shared" si="8"/>
        <v>582</v>
      </c>
      <c r="Q43" s="87">
        <f t="shared" si="10"/>
        <v>1532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114671</v>
      </c>
      <c r="J44" s="10"/>
      <c r="K44" s="17"/>
      <c r="L44" s="81"/>
      <c r="M44" s="17"/>
      <c r="N44" s="82">
        <f t="shared" si="9"/>
        <v>954</v>
      </c>
      <c r="O44" s="17"/>
      <c r="P44" s="87">
        <f t="shared" si="8"/>
        <v>578</v>
      </c>
      <c r="Q44" s="87">
        <f t="shared" si="10"/>
        <v>1532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113712</v>
      </c>
      <c r="J45" s="10"/>
      <c r="K45" s="17"/>
      <c r="L45" s="81"/>
      <c r="M45" s="17"/>
      <c r="N45" s="82">
        <f t="shared" si="9"/>
        <v>959</v>
      </c>
      <c r="O45" s="17"/>
      <c r="P45" s="87">
        <f t="shared" si="8"/>
        <v>573</v>
      </c>
      <c r="Q45" s="87">
        <f t="shared" si="10"/>
        <v>1532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112748</v>
      </c>
      <c r="J46" s="10"/>
      <c r="K46" s="17"/>
      <c r="L46" s="81"/>
      <c r="M46" s="17"/>
      <c r="N46" s="82">
        <f t="shared" si="9"/>
        <v>964</v>
      </c>
      <c r="O46" s="17"/>
      <c r="P46" s="87">
        <f t="shared" si="8"/>
        <v>568</v>
      </c>
      <c r="Q46" s="87">
        <f t="shared" si="10"/>
        <v>1532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111779</v>
      </c>
      <c r="J47" s="10"/>
      <c r="K47" s="17"/>
      <c r="L47" s="81"/>
      <c r="M47" s="17"/>
      <c r="N47" s="82">
        <f t="shared" si="9"/>
        <v>969</v>
      </c>
      <c r="O47" s="17"/>
      <c r="P47" s="87">
        <f t="shared" si="8"/>
        <v>563</v>
      </c>
      <c r="Q47" s="87">
        <f t="shared" si="10"/>
        <v>1532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110805</v>
      </c>
      <c r="J48" s="10"/>
      <c r="K48" s="17"/>
      <c r="L48" s="81"/>
      <c r="M48" s="17"/>
      <c r="N48" s="82">
        <f t="shared" si="9"/>
        <v>974</v>
      </c>
      <c r="O48" s="17"/>
      <c r="P48" s="87">
        <f t="shared" si="8"/>
        <v>558</v>
      </c>
      <c r="Q48" s="87">
        <f t="shared" si="10"/>
        <v>1532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109827</v>
      </c>
      <c r="J49" s="10"/>
      <c r="K49" s="17"/>
      <c r="L49" s="81"/>
      <c r="M49" s="17"/>
      <c r="N49" s="82">
        <f t="shared" si="9"/>
        <v>978</v>
      </c>
      <c r="O49" s="17"/>
      <c r="P49" s="87">
        <f t="shared" si="8"/>
        <v>554</v>
      </c>
      <c r="Q49" s="87">
        <f t="shared" si="10"/>
        <v>1532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108844</v>
      </c>
      <c r="J50" s="10"/>
      <c r="K50" s="17"/>
      <c r="L50" s="81"/>
      <c r="M50" s="17"/>
      <c r="N50" s="82">
        <f t="shared" si="9"/>
        <v>983</v>
      </c>
      <c r="O50" s="17"/>
      <c r="P50" s="87">
        <f t="shared" si="8"/>
        <v>549</v>
      </c>
      <c r="Q50" s="87">
        <f t="shared" si="10"/>
        <v>1532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107856</v>
      </c>
      <c r="J51" s="10"/>
      <c r="K51" s="17"/>
      <c r="L51" s="81"/>
      <c r="M51" s="17"/>
      <c r="N51" s="82">
        <f t="shared" si="9"/>
        <v>988</v>
      </c>
      <c r="O51" s="17"/>
      <c r="P51" s="87">
        <f t="shared" si="8"/>
        <v>544</v>
      </c>
      <c r="Q51" s="87">
        <f t="shared" si="10"/>
        <v>1532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106863</v>
      </c>
      <c r="J52" s="10"/>
      <c r="K52" s="17"/>
      <c r="L52" s="81"/>
      <c r="M52" s="17"/>
      <c r="N52" s="82">
        <f t="shared" si="9"/>
        <v>993</v>
      </c>
      <c r="O52" s="17"/>
      <c r="P52" s="87">
        <f t="shared" si="8"/>
        <v>539</v>
      </c>
      <c r="Q52" s="87">
        <f t="shared" si="10"/>
        <v>1532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105865</v>
      </c>
      <c r="J53" s="10"/>
      <c r="K53" s="17"/>
      <c r="L53" s="81"/>
      <c r="M53" s="17"/>
      <c r="N53" s="82">
        <f t="shared" si="9"/>
        <v>998</v>
      </c>
      <c r="O53" s="17"/>
      <c r="P53" s="87">
        <f t="shared" si="8"/>
        <v>534</v>
      </c>
      <c r="Q53" s="87">
        <f t="shared" si="10"/>
        <v>1532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104862</v>
      </c>
      <c r="J54" s="10"/>
      <c r="K54" s="17"/>
      <c r="L54" s="81"/>
      <c r="M54" s="17"/>
      <c r="N54" s="82">
        <f t="shared" si="9"/>
        <v>1003</v>
      </c>
      <c r="O54" s="17"/>
      <c r="P54" s="87">
        <f t="shared" si="8"/>
        <v>529</v>
      </c>
      <c r="Q54" s="87">
        <f t="shared" si="10"/>
        <v>1532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103854</v>
      </c>
      <c r="J55" s="10"/>
      <c r="K55" s="17"/>
      <c r="L55" s="81"/>
      <c r="M55" s="17"/>
      <c r="N55" s="82">
        <f t="shared" si="9"/>
        <v>1008</v>
      </c>
      <c r="O55" s="17"/>
      <c r="P55" s="87">
        <f t="shared" si="8"/>
        <v>524</v>
      </c>
      <c r="Q55" s="87">
        <f t="shared" si="10"/>
        <v>1532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102841</v>
      </c>
      <c r="J56" s="10"/>
      <c r="K56" s="17"/>
      <c r="L56" s="81"/>
      <c r="M56" s="17"/>
      <c r="N56" s="82">
        <f t="shared" si="9"/>
        <v>1013</v>
      </c>
      <c r="O56" s="17"/>
      <c r="P56" s="87">
        <f t="shared" si="8"/>
        <v>519</v>
      </c>
      <c r="Q56" s="87">
        <f t="shared" si="10"/>
        <v>1532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101823</v>
      </c>
      <c r="J57" s="10"/>
      <c r="K57" s="17"/>
      <c r="L57" s="81"/>
      <c r="M57" s="17"/>
      <c r="N57" s="82">
        <f t="shared" si="9"/>
        <v>1018</v>
      </c>
      <c r="O57" s="17"/>
      <c r="P57" s="87">
        <f t="shared" si="8"/>
        <v>514</v>
      </c>
      <c r="Q57" s="87">
        <f t="shared" si="10"/>
        <v>1532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100800</v>
      </c>
      <c r="J58" s="10"/>
      <c r="K58" s="17"/>
      <c r="L58" s="81"/>
      <c r="M58" s="17"/>
      <c r="N58" s="82">
        <f t="shared" si="9"/>
        <v>1023</v>
      </c>
      <c r="O58" s="17"/>
      <c r="P58" s="87">
        <f t="shared" si="8"/>
        <v>509</v>
      </c>
      <c r="Q58" s="87">
        <f t="shared" si="10"/>
        <v>1532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99772</v>
      </c>
      <c r="J59" s="10"/>
      <c r="K59" s="17"/>
      <c r="L59" s="81"/>
      <c r="M59" s="17"/>
      <c r="N59" s="82">
        <f t="shared" si="9"/>
        <v>1028</v>
      </c>
      <c r="O59" s="17"/>
      <c r="P59" s="87">
        <f t="shared" si="8"/>
        <v>504</v>
      </c>
      <c r="Q59" s="87">
        <f t="shared" si="10"/>
        <v>1532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98738</v>
      </c>
      <c r="J60" s="10"/>
      <c r="K60" s="17"/>
      <c r="L60" s="81"/>
      <c r="M60" s="17"/>
      <c r="N60" s="82">
        <f t="shared" si="9"/>
        <v>1034</v>
      </c>
      <c r="O60" s="17"/>
      <c r="P60" s="87">
        <f t="shared" si="8"/>
        <v>498</v>
      </c>
      <c r="Q60" s="87">
        <f t="shared" si="10"/>
        <v>1532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97699</v>
      </c>
      <c r="J61" s="10"/>
      <c r="K61" s="17"/>
      <c r="L61" s="81"/>
      <c r="M61" s="17"/>
      <c r="N61" s="82">
        <f t="shared" si="9"/>
        <v>1039</v>
      </c>
      <c r="O61" s="17"/>
      <c r="P61" s="87">
        <f t="shared" si="8"/>
        <v>493</v>
      </c>
      <c r="Q61" s="87">
        <f t="shared" si="10"/>
        <v>1532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96655</v>
      </c>
      <c r="J62" s="10"/>
      <c r="K62" s="17"/>
      <c r="L62" s="81"/>
      <c r="M62" s="17"/>
      <c r="N62" s="82">
        <f t="shared" si="9"/>
        <v>1044</v>
      </c>
      <c r="O62" s="17"/>
      <c r="P62" s="87">
        <f t="shared" si="8"/>
        <v>488</v>
      </c>
      <c r="Q62" s="87">
        <f t="shared" si="10"/>
        <v>1532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95606</v>
      </c>
      <c r="J63" s="10"/>
      <c r="K63" s="17"/>
      <c r="L63" s="81"/>
      <c r="M63" s="17"/>
      <c r="N63" s="82">
        <f t="shared" si="9"/>
        <v>1049</v>
      </c>
      <c r="O63" s="17"/>
      <c r="P63" s="87">
        <f t="shared" si="8"/>
        <v>483</v>
      </c>
      <c r="Q63" s="87">
        <f t="shared" si="10"/>
        <v>1532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94552</v>
      </c>
      <c r="J64" s="10"/>
      <c r="K64" s="17"/>
      <c r="L64" s="81"/>
      <c r="M64" s="17"/>
      <c r="N64" s="82">
        <f t="shared" si="9"/>
        <v>1054</v>
      </c>
      <c r="O64" s="17"/>
      <c r="P64" s="87">
        <f t="shared" si="8"/>
        <v>478</v>
      </c>
      <c r="Q64" s="87">
        <f t="shared" si="10"/>
        <v>1532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93492</v>
      </c>
      <c r="J65" s="10"/>
      <c r="K65" s="17"/>
      <c r="L65" s="81"/>
      <c r="M65" s="17"/>
      <c r="N65" s="82">
        <f t="shared" si="9"/>
        <v>1060</v>
      </c>
      <c r="O65" s="17"/>
      <c r="P65" s="87">
        <f t="shared" si="8"/>
        <v>472</v>
      </c>
      <c r="Q65" s="87">
        <f t="shared" si="10"/>
        <v>1532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92427</v>
      </c>
      <c r="J66" s="10"/>
      <c r="K66" s="17"/>
      <c r="L66" s="81"/>
      <c r="M66" s="17"/>
      <c r="N66" s="82">
        <f t="shared" si="9"/>
        <v>1065</v>
      </c>
      <c r="O66" s="17"/>
      <c r="P66" s="87">
        <f t="shared" si="8"/>
        <v>467</v>
      </c>
      <c r="Q66" s="87">
        <f t="shared" si="10"/>
        <v>1532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91357</v>
      </c>
      <c r="J67" s="10"/>
      <c r="K67" s="17"/>
      <c r="L67" s="81"/>
      <c r="M67" s="17"/>
      <c r="N67" s="82">
        <f t="shared" si="9"/>
        <v>1070</v>
      </c>
      <c r="O67" s="17"/>
      <c r="P67" s="87">
        <f t="shared" si="8"/>
        <v>462</v>
      </c>
      <c r="Q67" s="87">
        <f t="shared" si="10"/>
        <v>1532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90281</v>
      </c>
      <c r="J68" s="10"/>
      <c r="K68" s="17"/>
      <c r="L68" s="81"/>
      <c r="M68" s="17"/>
      <c r="N68" s="82">
        <f t="shared" si="9"/>
        <v>1076</v>
      </c>
      <c r="O68" s="17"/>
      <c r="P68" s="87">
        <f t="shared" si="8"/>
        <v>456</v>
      </c>
      <c r="Q68" s="87">
        <f t="shared" si="10"/>
        <v>1532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89200</v>
      </c>
      <c r="J69" s="10"/>
      <c r="K69" s="17"/>
      <c r="L69" s="81"/>
      <c r="M69" s="17"/>
      <c r="N69" s="82">
        <f t="shared" si="9"/>
        <v>1081</v>
      </c>
      <c r="O69" s="17"/>
      <c r="P69" s="87">
        <f t="shared" si="8"/>
        <v>451</v>
      </c>
      <c r="Q69" s="87">
        <f t="shared" si="10"/>
        <v>1532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88114</v>
      </c>
      <c r="J70" s="10"/>
      <c r="K70" s="17"/>
      <c r="L70" s="90"/>
      <c r="M70" s="91"/>
      <c r="N70" s="82">
        <f t="shared" si="9"/>
        <v>1086</v>
      </c>
      <c r="O70" s="17"/>
      <c r="P70" s="87">
        <f t="shared" si="8"/>
        <v>446</v>
      </c>
      <c r="Q70" s="87">
        <f t="shared" si="10"/>
        <v>1532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87022</v>
      </c>
      <c r="J71" s="10"/>
      <c r="K71" s="17"/>
      <c r="L71" s="90"/>
      <c r="M71" s="91"/>
      <c r="N71" s="82">
        <f t="shared" si="9"/>
        <v>1092</v>
      </c>
      <c r="O71" s="17"/>
      <c r="P71" s="87">
        <f t="shared" si="8"/>
        <v>440</v>
      </c>
      <c r="Q71" s="87">
        <f t="shared" si="10"/>
        <v>1532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85925</v>
      </c>
      <c r="J72" s="10"/>
      <c r="K72" s="17"/>
      <c r="L72" s="90"/>
      <c r="M72" s="91"/>
      <c r="N72" s="82">
        <f t="shared" si="9"/>
        <v>1097</v>
      </c>
      <c r="O72" s="17"/>
      <c r="P72" s="87">
        <f t="shared" si="8"/>
        <v>435</v>
      </c>
      <c r="Q72" s="87">
        <f t="shared" si="10"/>
        <v>1532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84822</v>
      </c>
      <c r="J73" s="10"/>
      <c r="K73" s="17"/>
      <c r="L73" s="90"/>
      <c r="M73" s="91"/>
      <c r="N73" s="82">
        <f t="shared" si="9"/>
        <v>1103</v>
      </c>
      <c r="O73" s="17"/>
      <c r="P73" s="87">
        <f t="shared" si="8"/>
        <v>429</v>
      </c>
      <c r="Q73" s="87">
        <f t="shared" si="10"/>
        <v>1532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83714</v>
      </c>
      <c r="J74" s="10"/>
      <c r="K74" s="17"/>
      <c r="L74" s="90"/>
      <c r="M74" s="91"/>
      <c r="N74" s="82">
        <f t="shared" si="9"/>
        <v>1108</v>
      </c>
      <c r="O74" s="17"/>
      <c r="P74" s="87">
        <f t="shared" si="8"/>
        <v>424</v>
      </c>
      <c r="Q74" s="87">
        <f t="shared" si="10"/>
        <v>1532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82600</v>
      </c>
      <c r="J75" s="10"/>
      <c r="K75" s="17"/>
      <c r="L75" s="90"/>
      <c r="M75" s="91"/>
      <c r="N75" s="82">
        <f t="shared" si="9"/>
        <v>1114</v>
      </c>
      <c r="O75" s="17"/>
      <c r="P75" s="87">
        <f t="shared" si="8"/>
        <v>418</v>
      </c>
      <c r="Q75" s="87">
        <f t="shared" si="10"/>
        <v>1532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81481</v>
      </c>
      <c r="J76" s="10"/>
      <c r="K76" s="17"/>
      <c r="L76" s="90"/>
      <c r="M76" s="91"/>
      <c r="N76" s="82">
        <f t="shared" si="9"/>
        <v>1119</v>
      </c>
      <c r="O76" s="17"/>
      <c r="P76" s="87">
        <f t="shared" si="8"/>
        <v>413</v>
      </c>
      <c r="Q76" s="87">
        <f t="shared" si="10"/>
        <v>1532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80356</v>
      </c>
      <c r="J77" s="10"/>
      <c r="K77" s="17"/>
      <c r="L77" s="90"/>
      <c r="M77" s="91"/>
      <c r="N77" s="82">
        <f t="shared" si="9"/>
        <v>1125</v>
      </c>
      <c r="O77" s="17"/>
      <c r="P77" s="87">
        <f t="shared" si="8"/>
        <v>407</v>
      </c>
      <c r="Q77" s="87">
        <f t="shared" si="10"/>
        <v>1532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79225</v>
      </c>
      <c r="J78" s="10"/>
      <c r="K78" s="17"/>
      <c r="L78" s="81"/>
      <c r="M78" s="17"/>
      <c r="N78" s="82">
        <f t="shared" si="9"/>
        <v>1131</v>
      </c>
      <c r="O78" s="17"/>
      <c r="P78" s="87">
        <f t="shared" si="8"/>
        <v>401</v>
      </c>
      <c r="Q78" s="87">
        <f t="shared" si="10"/>
        <v>1532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78089</v>
      </c>
      <c r="J79" s="10"/>
      <c r="K79" s="17"/>
      <c r="L79" s="81"/>
      <c r="M79" s="17"/>
      <c r="N79" s="82">
        <f t="shared" si="9"/>
        <v>1136</v>
      </c>
      <c r="O79" s="17"/>
      <c r="P79" s="87">
        <f t="shared" si="8"/>
        <v>396</v>
      </c>
      <c r="Q79" s="87">
        <f t="shared" si="10"/>
        <v>1532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76947</v>
      </c>
      <c r="J80" s="10"/>
      <c r="K80" s="17"/>
      <c r="L80" s="81"/>
      <c r="M80" s="17"/>
      <c r="N80" s="82">
        <f t="shared" si="9"/>
        <v>1142</v>
      </c>
      <c r="O80" s="17"/>
      <c r="P80" s="87">
        <f t="shared" si="8"/>
        <v>390</v>
      </c>
      <c r="Q80" s="87">
        <f t="shared" si="10"/>
        <v>1532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75799</v>
      </c>
      <c r="J81" s="10"/>
      <c r="K81" s="17"/>
      <c r="L81" s="81"/>
      <c r="M81" s="17"/>
      <c r="N81" s="82">
        <f t="shared" si="9"/>
        <v>1148</v>
      </c>
      <c r="O81" s="17"/>
      <c r="P81" s="87">
        <f t="shared" si="8"/>
        <v>384</v>
      </c>
      <c r="Q81" s="87">
        <f t="shared" si="10"/>
        <v>1532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74645</v>
      </c>
      <c r="J82" s="10"/>
      <c r="K82" s="17"/>
      <c r="L82" s="81"/>
      <c r="M82" s="17"/>
      <c r="N82" s="82">
        <f t="shared" si="9"/>
        <v>1154</v>
      </c>
      <c r="O82" s="17"/>
      <c r="P82" s="87">
        <f t="shared" si="8"/>
        <v>378</v>
      </c>
      <c r="Q82" s="87">
        <f t="shared" si="10"/>
        <v>1532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73486</v>
      </c>
      <c r="J83" s="10"/>
      <c r="K83" s="17"/>
      <c r="L83" s="81"/>
      <c r="M83" s="17"/>
      <c r="N83" s="82">
        <f t="shared" si="9"/>
        <v>1159</v>
      </c>
      <c r="O83" s="17"/>
      <c r="P83" s="87">
        <f t="shared" si="8"/>
        <v>373</v>
      </c>
      <c r="Q83" s="87">
        <f t="shared" si="10"/>
        <v>1532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72321</v>
      </c>
      <c r="J84" s="10"/>
      <c r="K84" s="17"/>
      <c r="L84" s="81"/>
      <c r="M84" s="17"/>
      <c r="N84" s="82">
        <f t="shared" si="9"/>
        <v>1165</v>
      </c>
      <c r="O84" s="17"/>
      <c r="P84" s="87">
        <f t="shared" si="8"/>
        <v>367</v>
      </c>
      <c r="Q84" s="87">
        <f t="shared" si="10"/>
        <v>1532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71150</v>
      </c>
      <c r="J85" s="10"/>
      <c r="K85" s="17"/>
      <c r="L85" s="81"/>
      <c r="M85" s="17"/>
      <c r="N85" s="82">
        <f t="shared" si="9"/>
        <v>1171</v>
      </c>
      <c r="O85" s="17"/>
      <c r="P85" s="87">
        <f t="shared" si="8"/>
        <v>361</v>
      </c>
      <c r="Q85" s="87">
        <f t="shared" si="10"/>
        <v>1532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69973</v>
      </c>
      <c r="J86" s="10"/>
      <c r="K86" s="17"/>
      <c r="L86" s="81"/>
      <c r="M86" s="17"/>
      <c r="N86" s="82">
        <f t="shared" si="9"/>
        <v>1177</v>
      </c>
      <c r="O86" s="17"/>
      <c r="P86" s="87">
        <f t="shared" si="8"/>
        <v>355</v>
      </c>
      <c r="Q86" s="87">
        <f t="shared" si="10"/>
        <v>1532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68790</v>
      </c>
      <c r="J87" s="10"/>
      <c r="K87" s="17"/>
      <c r="L87" s="81"/>
      <c r="M87" s="17"/>
      <c r="N87" s="82">
        <f t="shared" si="9"/>
        <v>1183</v>
      </c>
      <c r="O87" s="17"/>
      <c r="P87" s="87">
        <f t="shared" si="8"/>
        <v>349</v>
      </c>
      <c r="Q87" s="87">
        <f t="shared" si="10"/>
        <v>1532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67601</v>
      </c>
      <c r="J88" s="10"/>
      <c r="K88" s="17"/>
      <c r="L88" s="81"/>
      <c r="M88" s="17"/>
      <c r="N88" s="82">
        <f t="shared" si="9"/>
        <v>1189</v>
      </c>
      <c r="O88" s="17"/>
      <c r="P88" s="87">
        <f t="shared" si="8"/>
        <v>343</v>
      </c>
      <c r="Q88" s="87">
        <f t="shared" si="10"/>
        <v>1532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66407</v>
      </c>
      <c r="J89" s="10"/>
      <c r="K89" s="17"/>
      <c r="L89" s="81"/>
      <c r="M89" s="17"/>
      <c r="N89" s="82">
        <f t="shared" si="9"/>
        <v>1194</v>
      </c>
      <c r="O89" s="17"/>
      <c r="P89" s="87">
        <f t="shared" si="8"/>
        <v>338</v>
      </c>
      <c r="Q89" s="87">
        <f t="shared" si="10"/>
        <v>1532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65207</v>
      </c>
      <c r="J90" s="10"/>
      <c r="K90" s="17"/>
      <c r="L90" s="81"/>
      <c r="M90" s="17"/>
      <c r="N90" s="82">
        <f t="shared" si="9"/>
        <v>1200</v>
      </c>
      <c r="O90" s="17"/>
      <c r="P90" s="87">
        <f t="shared" si="8"/>
        <v>332</v>
      </c>
      <c r="Q90" s="87">
        <f t="shared" si="10"/>
        <v>1532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64001</v>
      </c>
      <c r="J91" s="10"/>
      <c r="K91" s="17"/>
      <c r="L91" s="81"/>
      <c r="M91" s="17"/>
      <c r="N91" s="82">
        <f t="shared" si="9"/>
        <v>1206</v>
      </c>
      <c r="O91" s="17"/>
      <c r="P91" s="87">
        <f t="shared" si="8"/>
        <v>326</v>
      </c>
      <c r="Q91" s="87">
        <f t="shared" si="10"/>
        <v>1532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62789</v>
      </c>
      <c r="J92" s="10"/>
      <c r="K92" s="17"/>
      <c r="L92" s="81"/>
      <c r="M92" s="17"/>
      <c r="N92" s="82">
        <f t="shared" si="9"/>
        <v>1212</v>
      </c>
      <c r="O92" s="17"/>
      <c r="P92" s="87">
        <f t="shared" si="8"/>
        <v>320</v>
      </c>
      <c r="Q92" s="87">
        <f t="shared" si="10"/>
        <v>1532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61570</v>
      </c>
      <c r="J93" s="10"/>
      <c r="K93" s="17"/>
      <c r="L93" s="81"/>
      <c r="M93" s="17"/>
      <c r="N93" s="82">
        <f t="shared" si="9"/>
        <v>1219</v>
      </c>
      <c r="O93" s="17"/>
      <c r="P93" s="87">
        <f t="shared" si="8"/>
        <v>313</v>
      </c>
      <c r="Q93" s="87">
        <f t="shared" si="10"/>
        <v>1532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60345</v>
      </c>
      <c r="J94" s="10"/>
      <c r="K94" s="17"/>
      <c r="L94" s="81"/>
      <c r="M94" s="17"/>
      <c r="N94" s="82">
        <f t="shared" si="9"/>
        <v>1225</v>
      </c>
      <c r="O94" s="17"/>
      <c r="P94" s="87">
        <f t="shared" si="8"/>
        <v>307</v>
      </c>
      <c r="Q94" s="87">
        <f t="shared" si="10"/>
        <v>1532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59114</v>
      </c>
      <c r="J95" s="10"/>
      <c r="K95" s="17"/>
      <c r="L95" s="81"/>
      <c r="M95" s="17"/>
      <c r="N95" s="82">
        <f t="shared" si="9"/>
        <v>1231</v>
      </c>
      <c r="O95" s="17"/>
      <c r="P95" s="87">
        <f t="shared" si="8"/>
        <v>301</v>
      </c>
      <c r="Q95" s="87">
        <f t="shared" si="10"/>
        <v>1532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57877</v>
      </c>
      <c r="J96" s="10"/>
      <c r="K96" s="17"/>
      <c r="L96" s="81"/>
      <c r="M96" s="17"/>
      <c r="N96" s="82">
        <f t="shared" si="9"/>
        <v>1237</v>
      </c>
      <c r="O96" s="17"/>
      <c r="P96" s="87">
        <f t="shared" si="8"/>
        <v>295</v>
      </c>
      <c r="Q96" s="87">
        <f t="shared" si="10"/>
        <v>1532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56634</v>
      </c>
      <c r="J97" s="10"/>
      <c r="K97" s="17"/>
      <c r="L97" s="81"/>
      <c r="M97" s="17"/>
      <c r="N97" s="82">
        <f t="shared" si="9"/>
        <v>1243</v>
      </c>
      <c r="O97" s="17"/>
      <c r="P97" s="87">
        <f t="shared" si="8"/>
        <v>289</v>
      </c>
      <c r="Q97" s="87">
        <f t="shared" si="10"/>
        <v>1532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55385</v>
      </c>
      <c r="J98" s="10"/>
      <c r="K98" s="17"/>
      <c r="L98" s="81"/>
      <c r="M98" s="17"/>
      <c r="N98" s="82">
        <f t="shared" si="9"/>
        <v>1249</v>
      </c>
      <c r="O98" s="17"/>
      <c r="P98" s="87">
        <f t="shared" si="8"/>
        <v>283</v>
      </c>
      <c r="Q98" s="87">
        <f t="shared" si="10"/>
        <v>1532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54129</v>
      </c>
      <c r="J99" s="10"/>
      <c r="K99" s="17"/>
      <c r="L99" s="81"/>
      <c r="M99" s="17"/>
      <c r="N99" s="82">
        <f t="shared" si="9"/>
        <v>1256</v>
      </c>
      <c r="O99" s="17"/>
      <c r="P99" s="87">
        <f t="shared" si="8"/>
        <v>276</v>
      </c>
      <c r="Q99" s="87">
        <f t="shared" si="10"/>
        <v>1532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52867</v>
      </c>
      <c r="J100" s="10"/>
      <c r="K100" s="17"/>
      <c r="L100" s="81"/>
      <c r="M100" s="17"/>
      <c r="N100" s="82">
        <f t="shared" si="9"/>
        <v>1262</v>
      </c>
      <c r="O100" s="17"/>
      <c r="P100" s="87">
        <f t="shared" si="8"/>
        <v>270</v>
      </c>
      <c r="Q100" s="87">
        <f t="shared" si="10"/>
        <v>1532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51599</v>
      </c>
      <c r="J101" s="10"/>
      <c r="K101" s="17"/>
      <c r="L101" s="81"/>
      <c r="M101" s="17"/>
      <c r="N101" s="82">
        <f t="shared" si="9"/>
        <v>1268</v>
      </c>
      <c r="O101" s="17"/>
      <c r="P101" s="87">
        <f t="shared" si="8"/>
        <v>264</v>
      </c>
      <c r="Q101" s="87">
        <f t="shared" si="10"/>
        <v>1532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50324</v>
      </c>
      <c r="J102" s="10"/>
      <c r="K102" s="17"/>
      <c r="L102" s="81"/>
      <c r="M102" s="17"/>
      <c r="N102" s="82">
        <f t="shared" si="9"/>
        <v>1275</v>
      </c>
      <c r="O102" s="17"/>
      <c r="P102" s="87">
        <f t="shared" si="8"/>
        <v>257</v>
      </c>
      <c r="Q102" s="87">
        <f t="shared" si="10"/>
        <v>1532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49043</v>
      </c>
      <c r="J103" s="10"/>
      <c r="K103" s="17"/>
      <c r="L103" s="81"/>
      <c r="M103" s="17"/>
      <c r="N103" s="82">
        <f t="shared" si="9"/>
        <v>1281</v>
      </c>
      <c r="O103" s="17"/>
      <c r="P103" s="87">
        <f t="shared" si="8"/>
        <v>251</v>
      </c>
      <c r="Q103" s="87">
        <f t="shared" si="10"/>
        <v>1532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47756</v>
      </c>
      <c r="J104" s="10"/>
      <c r="K104" s="17"/>
      <c r="L104" s="81"/>
      <c r="M104" s="17"/>
      <c r="N104" s="82">
        <f t="shared" si="9"/>
        <v>1287</v>
      </c>
      <c r="O104" s="17"/>
      <c r="P104" s="87">
        <f t="shared" si="8"/>
        <v>245</v>
      </c>
      <c r="Q104" s="87">
        <f t="shared" si="10"/>
        <v>1532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46462</v>
      </c>
      <c r="J105" s="10"/>
      <c r="K105" s="17"/>
      <c r="L105" s="81"/>
      <c r="M105" s="17"/>
      <c r="N105" s="82">
        <f t="shared" si="9"/>
        <v>1294</v>
      </c>
      <c r="O105" s="17"/>
      <c r="P105" s="87">
        <f t="shared" si="8"/>
        <v>238</v>
      </c>
      <c r="Q105" s="87">
        <f t="shared" si="10"/>
        <v>1532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45162</v>
      </c>
      <c r="J106" s="10"/>
      <c r="K106" s="17"/>
      <c r="L106" s="81"/>
      <c r="M106" s="17"/>
      <c r="N106" s="82">
        <f t="shared" si="9"/>
        <v>1300</v>
      </c>
      <c r="O106" s="17"/>
      <c r="P106" s="87">
        <f t="shared" si="8"/>
        <v>232</v>
      </c>
      <c r="Q106" s="87">
        <f t="shared" si="10"/>
        <v>1532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43855</v>
      </c>
      <c r="J107" s="10"/>
      <c r="K107" s="17"/>
      <c r="L107" s="81"/>
      <c r="M107" s="17"/>
      <c r="N107" s="82">
        <f t="shared" si="9"/>
        <v>1307</v>
      </c>
      <c r="O107" s="17"/>
      <c r="P107" s="87">
        <f t="shared" si="8"/>
        <v>225</v>
      </c>
      <c r="Q107" s="87">
        <f t="shared" si="10"/>
        <v>1532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42542</v>
      </c>
      <c r="J108" s="10"/>
      <c r="K108" s="17"/>
      <c r="L108" s="81"/>
      <c r="M108" s="17"/>
      <c r="N108" s="82">
        <f t="shared" si="9"/>
        <v>1313</v>
      </c>
      <c r="O108" s="17"/>
      <c r="P108" s="87">
        <f t="shared" si="8"/>
        <v>219</v>
      </c>
      <c r="Q108" s="87">
        <f t="shared" si="10"/>
        <v>1532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41222</v>
      </c>
      <c r="J109" s="10"/>
      <c r="K109" s="17"/>
      <c r="L109" s="81"/>
      <c r="M109" s="17"/>
      <c r="N109" s="82">
        <f t="shared" si="9"/>
        <v>1320</v>
      </c>
      <c r="O109" s="17"/>
      <c r="P109" s="87">
        <f t="shared" si="8"/>
        <v>212</v>
      </c>
      <c r="Q109" s="87">
        <f t="shared" si="10"/>
        <v>1532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39896</v>
      </c>
      <c r="J110" s="10"/>
      <c r="K110" s="17"/>
      <c r="L110" s="81"/>
      <c r="M110" s="17"/>
      <c r="N110" s="82">
        <f t="shared" si="9"/>
        <v>1326</v>
      </c>
      <c r="O110" s="17"/>
      <c r="P110" s="87">
        <f t="shared" si="8"/>
        <v>206</v>
      </c>
      <c r="Q110" s="87">
        <f t="shared" si="10"/>
        <v>1532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38563</v>
      </c>
      <c r="J111" s="10"/>
      <c r="K111" s="17"/>
      <c r="L111" s="81"/>
      <c r="M111" s="17"/>
      <c r="N111" s="82">
        <f t="shared" si="9"/>
        <v>1333</v>
      </c>
      <c r="O111" s="17"/>
      <c r="P111" s="87">
        <f t="shared" si="8"/>
        <v>199</v>
      </c>
      <c r="Q111" s="87">
        <f t="shared" si="10"/>
        <v>1532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37223</v>
      </c>
      <c r="J112" s="10"/>
      <c r="K112" s="17"/>
      <c r="L112" s="81"/>
      <c r="M112" s="17"/>
      <c r="N112" s="82">
        <f t="shared" si="9"/>
        <v>1340</v>
      </c>
      <c r="O112" s="17"/>
      <c r="P112" s="87">
        <f t="shared" si="8"/>
        <v>192</v>
      </c>
      <c r="Q112" s="87">
        <f t="shared" si="10"/>
        <v>1532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35877</v>
      </c>
      <c r="J113" s="10"/>
      <c r="K113" s="17"/>
      <c r="L113" s="81"/>
      <c r="M113" s="17"/>
      <c r="N113" s="82">
        <f t="shared" si="9"/>
        <v>1346</v>
      </c>
      <c r="O113" s="17"/>
      <c r="P113" s="87">
        <f t="shared" si="8"/>
        <v>186</v>
      </c>
      <c r="Q113" s="87">
        <f t="shared" si="10"/>
        <v>1532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34524</v>
      </c>
      <c r="J114" s="10"/>
      <c r="K114" s="17"/>
      <c r="L114" s="81"/>
      <c r="M114" s="17"/>
      <c r="N114" s="82">
        <f t="shared" si="9"/>
        <v>1353</v>
      </c>
      <c r="O114" s="17"/>
      <c r="P114" s="87">
        <f t="shared" si="8"/>
        <v>179</v>
      </c>
      <c r="Q114" s="87">
        <f t="shared" si="10"/>
        <v>1532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33164</v>
      </c>
      <c r="J115" s="10"/>
      <c r="K115" s="17"/>
      <c r="L115" s="81"/>
      <c r="M115" s="17"/>
      <c r="N115" s="82">
        <f t="shared" si="9"/>
        <v>1360</v>
      </c>
      <c r="O115" s="17"/>
      <c r="P115" s="87">
        <f t="shared" si="8"/>
        <v>172</v>
      </c>
      <c r="Q115" s="87">
        <f t="shared" si="10"/>
        <v>1532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31797</v>
      </c>
      <c r="J116" s="10"/>
      <c r="K116" s="17"/>
      <c r="L116" s="81"/>
      <c r="M116" s="17"/>
      <c r="N116" s="82">
        <f t="shared" si="9"/>
        <v>1367</v>
      </c>
      <c r="O116" s="17"/>
      <c r="P116" s="87">
        <f t="shared" si="8"/>
        <v>165</v>
      </c>
      <c r="Q116" s="87">
        <f t="shared" si="10"/>
        <v>1532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30423</v>
      </c>
      <c r="J117" s="10"/>
      <c r="K117" s="17"/>
      <c r="L117" s="81"/>
      <c r="M117" s="17"/>
      <c r="N117" s="82">
        <f t="shared" si="9"/>
        <v>1374</v>
      </c>
      <c r="O117" s="17"/>
      <c r="P117" s="87">
        <f t="shared" si="8"/>
        <v>158</v>
      </c>
      <c r="Q117" s="87">
        <f t="shared" si="10"/>
        <v>1532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29043</v>
      </c>
      <c r="J118" s="10"/>
      <c r="K118" s="17"/>
      <c r="L118" s="81"/>
      <c r="M118" s="17"/>
      <c r="N118" s="82">
        <f t="shared" si="9"/>
        <v>1380</v>
      </c>
      <c r="O118" s="17"/>
      <c r="P118" s="87">
        <f t="shared" si="8"/>
        <v>152</v>
      </c>
      <c r="Q118" s="87">
        <f t="shared" si="10"/>
        <v>1532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27656</v>
      </c>
      <c r="J119" s="10"/>
      <c r="K119" s="17"/>
      <c r="L119" s="81"/>
      <c r="M119" s="17"/>
      <c r="N119" s="82">
        <f t="shared" si="9"/>
        <v>1387</v>
      </c>
      <c r="O119" s="17"/>
      <c r="P119" s="87">
        <f t="shared" si="8"/>
        <v>145</v>
      </c>
      <c r="Q119" s="87">
        <f t="shared" si="10"/>
        <v>1532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26262</v>
      </c>
      <c r="J120" s="10"/>
      <c r="K120" s="17"/>
      <c r="L120" s="81"/>
      <c r="M120" s="17"/>
      <c r="N120" s="82">
        <f t="shared" si="9"/>
        <v>1394</v>
      </c>
      <c r="O120" s="17"/>
      <c r="P120" s="87">
        <f t="shared" si="8"/>
        <v>138</v>
      </c>
      <c r="Q120" s="87">
        <f t="shared" si="10"/>
        <v>1532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24861</v>
      </c>
      <c r="J121" s="10"/>
      <c r="K121" s="17"/>
      <c r="L121" s="81"/>
      <c r="M121" s="17"/>
      <c r="N121" s="82">
        <f t="shared" si="9"/>
        <v>1401</v>
      </c>
      <c r="O121" s="17"/>
      <c r="P121" s="87">
        <f t="shared" si="8"/>
        <v>131</v>
      </c>
      <c r="Q121" s="87">
        <f t="shared" si="10"/>
        <v>1532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23453</v>
      </c>
      <c r="J122" s="10"/>
      <c r="K122" s="17"/>
      <c r="L122" s="81"/>
      <c r="M122" s="17"/>
      <c r="N122" s="82">
        <f t="shared" si="9"/>
        <v>1408</v>
      </c>
      <c r="O122" s="17"/>
      <c r="P122" s="87">
        <f t="shared" si="8"/>
        <v>124</v>
      </c>
      <c r="Q122" s="87">
        <f t="shared" si="10"/>
        <v>1532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22038</v>
      </c>
      <c r="J123" s="10"/>
      <c r="K123" s="17"/>
      <c r="L123" s="81"/>
      <c r="M123" s="17"/>
      <c r="N123" s="82">
        <f t="shared" si="9"/>
        <v>1415</v>
      </c>
      <c r="O123" s="17"/>
      <c r="P123" s="87">
        <f t="shared" si="8"/>
        <v>117</v>
      </c>
      <c r="Q123" s="87">
        <f t="shared" si="10"/>
        <v>1532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20616</v>
      </c>
      <c r="J124" s="10"/>
      <c r="K124" s="17"/>
      <c r="L124" s="81"/>
      <c r="M124" s="17"/>
      <c r="N124" s="82">
        <f t="shared" si="9"/>
        <v>1422</v>
      </c>
      <c r="O124" s="17"/>
      <c r="P124" s="87">
        <f t="shared" si="8"/>
        <v>110</v>
      </c>
      <c r="Q124" s="87">
        <f t="shared" si="10"/>
        <v>1532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19187</v>
      </c>
      <c r="J125" s="10"/>
      <c r="K125" s="17"/>
      <c r="L125" s="81"/>
      <c r="M125" s="17"/>
      <c r="N125" s="82">
        <f t="shared" si="9"/>
        <v>1429</v>
      </c>
      <c r="O125" s="17"/>
      <c r="P125" s="87">
        <f t="shared" si="8"/>
        <v>103</v>
      </c>
      <c r="Q125" s="87">
        <f t="shared" si="10"/>
        <v>1532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17750</v>
      </c>
      <c r="J126" s="10"/>
      <c r="K126" s="17"/>
      <c r="L126" s="81"/>
      <c r="M126" s="17"/>
      <c r="N126" s="82">
        <f t="shared" si="9"/>
        <v>1437</v>
      </c>
      <c r="O126" s="17"/>
      <c r="P126" s="87">
        <f t="shared" si="8"/>
        <v>95</v>
      </c>
      <c r="Q126" s="87">
        <f t="shared" si="10"/>
        <v>1532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16306</v>
      </c>
      <c r="J127" s="10"/>
      <c r="K127" s="17"/>
      <c r="L127" s="81"/>
      <c r="M127" s="17"/>
      <c r="N127" s="82">
        <f t="shared" si="9"/>
        <v>1444</v>
      </c>
      <c r="O127" s="17"/>
      <c r="P127" s="87">
        <f t="shared" si="8"/>
        <v>88</v>
      </c>
      <c r="Q127" s="87">
        <f t="shared" si="10"/>
        <v>1532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14855</v>
      </c>
      <c r="J128" s="10"/>
      <c r="K128" s="17"/>
      <c r="L128" s="81"/>
      <c r="M128" s="17"/>
      <c r="N128" s="82">
        <f t="shared" si="9"/>
        <v>1451</v>
      </c>
      <c r="O128" s="17"/>
      <c r="P128" s="87">
        <f t="shared" si="8"/>
        <v>81</v>
      </c>
      <c r="Q128" s="87">
        <f t="shared" si="10"/>
        <v>1532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13397</v>
      </c>
      <c r="J129" s="10"/>
      <c r="K129" s="17"/>
      <c r="L129" s="81"/>
      <c r="M129" s="17"/>
      <c r="N129" s="82">
        <f t="shared" si="9"/>
        <v>1458</v>
      </c>
      <c r="O129" s="17"/>
      <c r="P129" s="87">
        <f t="shared" si="8"/>
        <v>74</v>
      </c>
      <c r="Q129" s="87">
        <f t="shared" si="10"/>
        <v>1532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11931</v>
      </c>
      <c r="J130" s="10"/>
      <c r="K130" s="17"/>
      <c r="L130" s="81"/>
      <c r="M130" s="17"/>
      <c r="N130" s="82">
        <f t="shared" si="9"/>
        <v>1466</v>
      </c>
      <c r="O130" s="17"/>
      <c r="P130" s="87">
        <f t="shared" si="8"/>
        <v>66</v>
      </c>
      <c r="Q130" s="87">
        <f t="shared" si="10"/>
        <v>1532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10458</v>
      </c>
      <c r="J131" s="10"/>
      <c r="K131" s="17"/>
      <c r="L131" s="81"/>
      <c r="M131" s="17"/>
      <c r="N131" s="82">
        <f t="shared" si="9"/>
        <v>1473</v>
      </c>
      <c r="O131" s="17"/>
      <c r="P131" s="87">
        <f t="shared" si="8"/>
        <v>59</v>
      </c>
      <c r="Q131" s="87">
        <f t="shared" si="10"/>
        <v>1532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8978</v>
      </c>
      <c r="J132" s="10"/>
      <c r="K132" s="17"/>
      <c r="L132" s="81"/>
      <c r="M132" s="17"/>
      <c r="N132" s="82">
        <f t="shared" si="9"/>
        <v>1480</v>
      </c>
      <c r="O132" s="17"/>
      <c r="P132" s="87">
        <f t="shared" si="8"/>
        <v>52</v>
      </c>
      <c r="Q132" s="87">
        <f t="shared" si="10"/>
        <v>1532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7490</v>
      </c>
      <c r="J133" s="10"/>
      <c r="K133" s="17"/>
      <c r="L133" s="81"/>
      <c r="M133" s="17"/>
      <c r="N133" s="82">
        <f t="shared" si="9"/>
        <v>1488</v>
      </c>
      <c r="O133" s="17"/>
      <c r="P133" s="87">
        <f t="shared" si="8"/>
        <v>44</v>
      </c>
      <c r="Q133" s="87">
        <f t="shared" si="10"/>
        <v>1532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5995</v>
      </c>
      <c r="J134" s="10"/>
      <c r="K134" s="17"/>
      <c r="L134" s="81"/>
      <c r="M134" s="17"/>
      <c r="N134" s="82">
        <f t="shared" si="9"/>
        <v>1495</v>
      </c>
      <c r="O134" s="17"/>
      <c r="P134" s="87">
        <f t="shared" si="8"/>
        <v>37</v>
      </c>
      <c r="Q134" s="87">
        <f t="shared" si="10"/>
        <v>1532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4492</v>
      </c>
      <c r="J135" s="10"/>
      <c r="K135" s="17"/>
      <c r="L135" s="81"/>
      <c r="M135" s="17"/>
      <c r="N135" s="82">
        <f t="shared" si="9"/>
        <v>1503</v>
      </c>
      <c r="O135" s="17"/>
      <c r="P135" s="87">
        <f t="shared" si="8"/>
        <v>29</v>
      </c>
      <c r="Q135" s="87">
        <f t="shared" si="10"/>
        <v>1532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2982</v>
      </c>
      <c r="J136" s="10"/>
      <c r="K136" s="17"/>
      <c r="L136" s="81"/>
      <c r="M136" s="17"/>
      <c r="N136" s="82">
        <f t="shared" si="9"/>
        <v>1510</v>
      </c>
      <c r="O136" s="17"/>
      <c r="P136" s="87">
        <f t="shared" si="8"/>
        <v>22</v>
      </c>
      <c r="Q136" s="87">
        <f t="shared" si="10"/>
        <v>1532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1464</v>
      </c>
      <c r="J137" s="10"/>
      <c r="K137" s="17"/>
      <c r="L137" s="81"/>
      <c r="M137" s="17"/>
      <c r="N137" s="82">
        <f t="shared" si="9"/>
        <v>1518</v>
      </c>
      <c r="O137" s="17"/>
      <c r="P137" s="87">
        <f t="shared" si="8"/>
        <v>14</v>
      </c>
      <c r="Q137" s="87">
        <f t="shared" si="10"/>
        <v>1532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1464</v>
      </c>
      <c r="O138" s="17"/>
      <c r="P138" s="87">
        <f t="shared" si="8"/>
        <v>7</v>
      </c>
      <c r="Q138" s="87">
        <f t="shared" si="10"/>
        <v>1471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138000</v>
      </c>
      <c r="O139" s="17"/>
      <c r="P139" s="83">
        <f t="shared" ref="P139:Q139" si="13">SUM(P19:P138)</f>
        <v>45779</v>
      </c>
      <c r="Q139" s="83">
        <f t="shared" si="13"/>
        <v>183779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1.43E8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143000000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143000000</v>
      </c>
      <c r="O15" s="17"/>
      <c r="P15" s="65">
        <f t="shared" ref="P15:Q15" si="1">P139</f>
        <v>47511111</v>
      </c>
      <c r="Q15" s="66">
        <f t="shared" si="1"/>
        <v>190511111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143000000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142127407</v>
      </c>
      <c r="J19" s="10"/>
      <c r="K19" s="17"/>
      <c r="L19" s="81"/>
      <c r="M19" s="17"/>
      <c r="N19" s="82">
        <f>ROUND(($Q$19-$P$19-$L$19),0)</f>
        <v>872593</v>
      </c>
      <c r="O19" s="17"/>
      <c r="P19" s="87">
        <f t="shared" ref="P19:P138" si="8">ROUNDDOWN((I18*$I$6),0)</f>
        <v>715000</v>
      </c>
      <c r="Q19" s="87">
        <f>ROUND((-PMT($I$6,$I$7,$I$5,0,0)+L19),0)</f>
        <v>1587593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141250451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876956</v>
      </c>
      <c r="O20" s="17"/>
      <c r="P20" s="87">
        <f t="shared" si="8"/>
        <v>710637</v>
      </c>
      <c r="Q20" s="87">
        <f t="shared" ref="Q20:Q138" si="10">SUM(L20:P20)</f>
        <v>1587593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140369110</v>
      </c>
      <c r="J21" s="10"/>
      <c r="K21" s="17"/>
      <c r="L21" s="81"/>
      <c r="M21" s="17"/>
      <c r="N21" s="82">
        <f t="shared" si="9"/>
        <v>881341</v>
      </c>
      <c r="O21" s="17"/>
      <c r="P21" s="87">
        <f t="shared" si="8"/>
        <v>706252</v>
      </c>
      <c r="Q21" s="87">
        <f t="shared" si="10"/>
        <v>1587593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139483362</v>
      </c>
      <c r="J22" s="10"/>
      <c r="K22" s="17"/>
      <c r="L22" s="81"/>
      <c r="M22" s="17"/>
      <c r="N22" s="82">
        <f t="shared" si="9"/>
        <v>885748</v>
      </c>
      <c r="O22" s="17"/>
      <c r="P22" s="87">
        <f t="shared" si="8"/>
        <v>701845</v>
      </c>
      <c r="Q22" s="87">
        <f t="shared" si="10"/>
        <v>1587593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138593185</v>
      </c>
      <c r="J23" s="10"/>
      <c r="K23" s="17"/>
      <c r="L23" s="81"/>
      <c r="M23" s="17"/>
      <c r="N23" s="82">
        <f t="shared" si="9"/>
        <v>890177</v>
      </c>
      <c r="O23" s="17"/>
      <c r="P23" s="87">
        <f t="shared" si="8"/>
        <v>697416</v>
      </c>
      <c r="Q23" s="87">
        <f t="shared" si="10"/>
        <v>1587593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137698557</v>
      </c>
      <c r="J24" s="10"/>
      <c r="K24" s="17"/>
      <c r="L24" s="81"/>
      <c r="M24" s="17"/>
      <c r="N24" s="82">
        <f t="shared" si="9"/>
        <v>894628</v>
      </c>
      <c r="O24" s="17"/>
      <c r="P24" s="87">
        <f t="shared" si="8"/>
        <v>692965</v>
      </c>
      <c r="Q24" s="87">
        <f t="shared" si="10"/>
        <v>1587593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136799456</v>
      </c>
      <c r="J25" s="10"/>
      <c r="K25" s="17"/>
      <c r="L25" s="81"/>
      <c r="M25" s="17"/>
      <c r="N25" s="82">
        <f t="shared" si="9"/>
        <v>899101</v>
      </c>
      <c r="O25" s="17"/>
      <c r="P25" s="87">
        <f t="shared" si="8"/>
        <v>688492</v>
      </c>
      <c r="Q25" s="87">
        <f t="shared" si="10"/>
        <v>1587593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135895860</v>
      </c>
      <c r="J26" s="10"/>
      <c r="K26" s="17"/>
      <c r="L26" s="81"/>
      <c r="M26" s="17"/>
      <c r="N26" s="82">
        <f t="shared" si="9"/>
        <v>903596</v>
      </c>
      <c r="O26" s="17"/>
      <c r="P26" s="87">
        <f t="shared" si="8"/>
        <v>683997</v>
      </c>
      <c r="Q26" s="87">
        <f t="shared" si="10"/>
        <v>1587593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134987746</v>
      </c>
      <c r="J27" s="10"/>
      <c r="K27" s="17"/>
      <c r="L27" s="81"/>
      <c r="M27" s="17"/>
      <c r="N27" s="82">
        <f t="shared" si="9"/>
        <v>908114</v>
      </c>
      <c r="O27" s="17"/>
      <c r="P27" s="87">
        <f t="shared" si="8"/>
        <v>679479</v>
      </c>
      <c r="Q27" s="87">
        <f t="shared" si="10"/>
        <v>1587593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134075091</v>
      </c>
      <c r="J28" s="10"/>
      <c r="K28" s="17"/>
      <c r="L28" s="81"/>
      <c r="M28" s="17"/>
      <c r="N28" s="82">
        <f t="shared" si="9"/>
        <v>912655</v>
      </c>
      <c r="O28" s="17"/>
      <c r="P28" s="87">
        <f t="shared" si="8"/>
        <v>674938</v>
      </c>
      <c r="Q28" s="87">
        <f t="shared" si="10"/>
        <v>1587593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133157873</v>
      </c>
      <c r="J29" s="10"/>
      <c r="K29" s="17"/>
      <c r="L29" s="81"/>
      <c r="M29" s="17"/>
      <c r="N29" s="82">
        <f t="shared" si="9"/>
        <v>917218</v>
      </c>
      <c r="O29" s="17"/>
      <c r="P29" s="87">
        <f t="shared" si="8"/>
        <v>670375</v>
      </c>
      <c r="Q29" s="87">
        <f t="shared" si="10"/>
        <v>1587593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132236069</v>
      </c>
      <c r="J30" s="10"/>
      <c r="K30" s="17"/>
      <c r="L30" s="81"/>
      <c r="M30" s="17"/>
      <c r="N30" s="82">
        <f t="shared" si="9"/>
        <v>921804</v>
      </c>
      <c r="O30" s="17"/>
      <c r="P30" s="87">
        <f t="shared" si="8"/>
        <v>665789</v>
      </c>
      <c r="Q30" s="87">
        <f t="shared" si="10"/>
        <v>1587593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131309656</v>
      </c>
      <c r="J31" s="10"/>
      <c r="K31" s="17"/>
      <c r="L31" s="81"/>
      <c r="M31" s="17"/>
      <c r="N31" s="82">
        <f t="shared" si="9"/>
        <v>926413</v>
      </c>
      <c r="O31" s="17"/>
      <c r="P31" s="87">
        <f t="shared" si="8"/>
        <v>661180</v>
      </c>
      <c r="Q31" s="87">
        <f t="shared" si="10"/>
        <v>1587593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130378611</v>
      </c>
      <c r="J32" s="10"/>
      <c r="K32" s="17"/>
      <c r="L32" s="81"/>
      <c r="M32" s="17"/>
      <c r="N32" s="82">
        <f t="shared" si="9"/>
        <v>931045</v>
      </c>
      <c r="O32" s="17"/>
      <c r="P32" s="87">
        <f t="shared" si="8"/>
        <v>656548</v>
      </c>
      <c r="Q32" s="87">
        <f t="shared" si="10"/>
        <v>1587593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129442911</v>
      </c>
      <c r="J33" s="10"/>
      <c r="K33" s="17"/>
      <c r="L33" s="81"/>
      <c r="M33" s="17"/>
      <c r="N33" s="82">
        <f t="shared" si="9"/>
        <v>935700</v>
      </c>
      <c r="O33" s="17"/>
      <c r="P33" s="87">
        <f t="shared" si="8"/>
        <v>651893</v>
      </c>
      <c r="Q33" s="87">
        <f t="shared" si="10"/>
        <v>1587593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128502532</v>
      </c>
      <c r="J34" s="10"/>
      <c r="K34" s="17"/>
      <c r="L34" s="81"/>
      <c r="M34" s="17"/>
      <c r="N34" s="82">
        <f t="shared" si="9"/>
        <v>940379</v>
      </c>
      <c r="O34" s="17"/>
      <c r="P34" s="87">
        <f t="shared" si="8"/>
        <v>647214</v>
      </c>
      <c r="Q34" s="87">
        <f t="shared" si="10"/>
        <v>1587593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127557451</v>
      </c>
      <c r="J35" s="10"/>
      <c r="K35" s="17"/>
      <c r="L35" s="81"/>
      <c r="M35" s="17"/>
      <c r="N35" s="82">
        <f t="shared" si="9"/>
        <v>945081</v>
      </c>
      <c r="O35" s="17"/>
      <c r="P35" s="87">
        <f t="shared" si="8"/>
        <v>642512</v>
      </c>
      <c r="Q35" s="87">
        <f t="shared" si="10"/>
        <v>1587593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126607645</v>
      </c>
      <c r="J36" s="10"/>
      <c r="K36" s="17"/>
      <c r="L36" s="81"/>
      <c r="M36" s="17"/>
      <c r="N36" s="82">
        <f t="shared" si="9"/>
        <v>949806</v>
      </c>
      <c r="O36" s="17"/>
      <c r="P36" s="87">
        <f t="shared" si="8"/>
        <v>637787</v>
      </c>
      <c r="Q36" s="87">
        <f t="shared" si="10"/>
        <v>1587593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125653090</v>
      </c>
      <c r="J37" s="10"/>
      <c r="K37" s="17"/>
      <c r="L37" s="81"/>
      <c r="M37" s="17"/>
      <c r="N37" s="82">
        <f t="shared" si="9"/>
        <v>954555</v>
      </c>
      <c r="O37" s="17"/>
      <c r="P37" s="87">
        <f t="shared" si="8"/>
        <v>633038</v>
      </c>
      <c r="Q37" s="87">
        <f t="shared" si="10"/>
        <v>1587593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124693762</v>
      </c>
      <c r="J38" s="10"/>
      <c r="K38" s="17"/>
      <c r="L38" s="81"/>
      <c r="M38" s="17"/>
      <c r="N38" s="82">
        <f t="shared" si="9"/>
        <v>959328</v>
      </c>
      <c r="O38" s="17"/>
      <c r="P38" s="87">
        <f t="shared" si="8"/>
        <v>628265</v>
      </c>
      <c r="Q38" s="87">
        <f t="shared" si="10"/>
        <v>1587593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123729637</v>
      </c>
      <c r="J39" s="10"/>
      <c r="K39" s="17"/>
      <c r="L39" s="81"/>
      <c r="M39" s="17"/>
      <c r="N39" s="82">
        <f t="shared" si="9"/>
        <v>964125</v>
      </c>
      <c r="O39" s="17"/>
      <c r="P39" s="87">
        <f t="shared" si="8"/>
        <v>623468</v>
      </c>
      <c r="Q39" s="87">
        <f t="shared" si="10"/>
        <v>1587593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122760692</v>
      </c>
      <c r="J40" s="10"/>
      <c r="K40" s="17"/>
      <c r="L40" s="81"/>
      <c r="M40" s="17"/>
      <c r="N40" s="82">
        <f t="shared" si="9"/>
        <v>968945</v>
      </c>
      <c r="O40" s="17"/>
      <c r="P40" s="87">
        <f t="shared" si="8"/>
        <v>618648</v>
      </c>
      <c r="Q40" s="87">
        <f t="shared" si="10"/>
        <v>1587593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121786902</v>
      </c>
      <c r="J41" s="10"/>
      <c r="K41" s="17"/>
      <c r="L41" s="81"/>
      <c r="M41" s="17"/>
      <c r="N41" s="82">
        <f t="shared" si="9"/>
        <v>973790</v>
      </c>
      <c r="O41" s="17"/>
      <c r="P41" s="87">
        <f t="shared" si="8"/>
        <v>613803</v>
      </c>
      <c r="Q41" s="87">
        <f t="shared" si="10"/>
        <v>1587593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120808243</v>
      </c>
      <c r="J42" s="10"/>
      <c r="K42" s="17"/>
      <c r="L42" s="81"/>
      <c r="M42" s="17"/>
      <c r="N42" s="82">
        <f t="shared" si="9"/>
        <v>978659</v>
      </c>
      <c r="O42" s="17"/>
      <c r="P42" s="87">
        <f t="shared" si="8"/>
        <v>608934</v>
      </c>
      <c r="Q42" s="87">
        <f t="shared" si="10"/>
        <v>1587593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119824691</v>
      </c>
      <c r="J43" s="10"/>
      <c r="K43" s="17"/>
      <c r="L43" s="81"/>
      <c r="M43" s="17"/>
      <c r="N43" s="82">
        <f t="shared" si="9"/>
        <v>983552</v>
      </c>
      <c r="O43" s="17"/>
      <c r="P43" s="87">
        <f t="shared" si="8"/>
        <v>604041</v>
      </c>
      <c r="Q43" s="87">
        <f t="shared" si="10"/>
        <v>1587593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118836221</v>
      </c>
      <c r="J44" s="10"/>
      <c r="K44" s="17"/>
      <c r="L44" s="81"/>
      <c r="M44" s="17"/>
      <c r="N44" s="82">
        <f t="shared" si="9"/>
        <v>988470</v>
      </c>
      <c r="O44" s="17"/>
      <c r="P44" s="87">
        <f t="shared" si="8"/>
        <v>599123</v>
      </c>
      <c r="Q44" s="87">
        <f t="shared" si="10"/>
        <v>1587593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117842809</v>
      </c>
      <c r="J45" s="10"/>
      <c r="K45" s="17"/>
      <c r="L45" s="81"/>
      <c r="M45" s="17"/>
      <c r="N45" s="82">
        <f t="shared" si="9"/>
        <v>993412</v>
      </c>
      <c r="O45" s="17"/>
      <c r="P45" s="87">
        <f t="shared" si="8"/>
        <v>594181</v>
      </c>
      <c r="Q45" s="87">
        <f t="shared" si="10"/>
        <v>1587593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116844430</v>
      </c>
      <c r="J46" s="10"/>
      <c r="K46" s="17"/>
      <c r="L46" s="81"/>
      <c r="M46" s="17"/>
      <c r="N46" s="82">
        <f t="shared" si="9"/>
        <v>998379</v>
      </c>
      <c r="O46" s="17"/>
      <c r="P46" s="87">
        <f t="shared" si="8"/>
        <v>589214</v>
      </c>
      <c r="Q46" s="87">
        <f t="shared" si="10"/>
        <v>1587593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115841059</v>
      </c>
      <c r="J47" s="10"/>
      <c r="K47" s="17"/>
      <c r="L47" s="81"/>
      <c r="M47" s="17"/>
      <c r="N47" s="82">
        <f t="shared" si="9"/>
        <v>1003371</v>
      </c>
      <c r="O47" s="17"/>
      <c r="P47" s="87">
        <f t="shared" si="8"/>
        <v>584222</v>
      </c>
      <c r="Q47" s="87">
        <f t="shared" si="10"/>
        <v>1587593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114832671</v>
      </c>
      <c r="J48" s="10"/>
      <c r="K48" s="17"/>
      <c r="L48" s="81"/>
      <c r="M48" s="17"/>
      <c r="N48" s="82">
        <f t="shared" si="9"/>
        <v>1008388</v>
      </c>
      <c r="O48" s="17"/>
      <c r="P48" s="87">
        <f t="shared" si="8"/>
        <v>579205</v>
      </c>
      <c r="Q48" s="87">
        <f t="shared" si="10"/>
        <v>1587593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113819241</v>
      </c>
      <c r="J49" s="10"/>
      <c r="K49" s="17"/>
      <c r="L49" s="81"/>
      <c r="M49" s="17"/>
      <c r="N49" s="82">
        <f t="shared" si="9"/>
        <v>1013430</v>
      </c>
      <c r="O49" s="17"/>
      <c r="P49" s="87">
        <f t="shared" si="8"/>
        <v>574163</v>
      </c>
      <c r="Q49" s="87">
        <f t="shared" si="10"/>
        <v>1587593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112800744</v>
      </c>
      <c r="J50" s="10"/>
      <c r="K50" s="17"/>
      <c r="L50" s="81"/>
      <c r="M50" s="17"/>
      <c r="N50" s="82">
        <f t="shared" si="9"/>
        <v>1018497</v>
      </c>
      <c r="O50" s="17"/>
      <c r="P50" s="87">
        <f t="shared" si="8"/>
        <v>569096</v>
      </c>
      <c r="Q50" s="87">
        <f t="shared" si="10"/>
        <v>1587593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111777154</v>
      </c>
      <c r="J51" s="10"/>
      <c r="K51" s="17"/>
      <c r="L51" s="81"/>
      <c r="M51" s="17"/>
      <c r="N51" s="82">
        <f t="shared" si="9"/>
        <v>1023590</v>
      </c>
      <c r="O51" s="17"/>
      <c r="P51" s="87">
        <f t="shared" si="8"/>
        <v>564003</v>
      </c>
      <c r="Q51" s="87">
        <f t="shared" si="10"/>
        <v>1587593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110748446</v>
      </c>
      <c r="J52" s="10"/>
      <c r="K52" s="17"/>
      <c r="L52" s="81"/>
      <c r="M52" s="17"/>
      <c r="N52" s="82">
        <f t="shared" si="9"/>
        <v>1028708</v>
      </c>
      <c r="O52" s="17"/>
      <c r="P52" s="87">
        <f t="shared" si="8"/>
        <v>558885</v>
      </c>
      <c r="Q52" s="87">
        <f t="shared" si="10"/>
        <v>1587593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109714595</v>
      </c>
      <c r="J53" s="10"/>
      <c r="K53" s="17"/>
      <c r="L53" s="81"/>
      <c r="M53" s="17"/>
      <c r="N53" s="82">
        <f t="shared" si="9"/>
        <v>1033851</v>
      </c>
      <c r="O53" s="17"/>
      <c r="P53" s="87">
        <f t="shared" si="8"/>
        <v>553742</v>
      </c>
      <c r="Q53" s="87">
        <f t="shared" si="10"/>
        <v>1587593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108675574</v>
      </c>
      <c r="J54" s="10"/>
      <c r="K54" s="17"/>
      <c r="L54" s="81"/>
      <c r="M54" s="17"/>
      <c r="N54" s="82">
        <f t="shared" si="9"/>
        <v>1039021</v>
      </c>
      <c r="O54" s="17"/>
      <c r="P54" s="87">
        <f t="shared" si="8"/>
        <v>548572</v>
      </c>
      <c r="Q54" s="87">
        <f t="shared" si="10"/>
        <v>1587593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107631358</v>
      </c>
      <c r="J55" s="10"/>
      <c r="K55" s="17"/>
      <c r="L55" s="81"/>
      <c r="M55" s="17"/>
      <c r="N55" s="82">
        <f t="shared" si="9"/>
        <v>1044216</v>
      </c>
      <c r="O55" s="17"/>
      <c r="P55" s="87">
        <f t="shared" si="8"/>
        <v>543377</v>
      </c>
      <c r="Q55" s="87">
        <f t="shared" si="10"/>
        <v>1587593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106581921</v>
      </c>
      <c r="J56" s="10"/>
      <c r="K56" s="17"/>
      <c r="L56" s="81"/>
      <c r="M56" s="17"/>
      <c r="N56" s="82">
        <f t="shared" si="9"/>
        <v>1049437</v>
      </c>
      <c r="O56" s="17"/>
      <c r="P56" s="87">
        <f t="shared" si="8"/>
        <v>538156</v>
      </c>
      <c r="Q56" s="87">
        <f t="shared" si="10"/>
        <v>1587593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105527237</v>
      </c>
      <c r="J57" s="10"/>
      <c r="K57" s="17"/>
      <c r="L57" s="81"/>
      <c r="M57" s="17"/>
      <c r="N57" s="82">
        <f t="shared" si="9"/>
        <v>1054684</v>
      </c>
      <c r="O57" s="17"/>
      <c r="P57" s="87">
        <f t="shared" si="8"/>
        <v>532909</v>
      </c>
      <c r="Q57" s="87">
        <f t="shared" si="10"/>
        <v>1587593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104467280</v>
      </c>
      <c r="J58" s="10"/>
      <c r="K58" s="17"/>
      <c r="L58" s="81"/>
      <c r="M58" s="17"/>
      <c r="N58" s="82">
        <f t="shared" si="9"/>
        <v>1059957</v>
      </c>
      <c r="O58" s="17"/>
      <c r="P58" s="87">
        <f t="shared" si="8"/>
        <v>527636</v>
      </c>
      <c r="Q58" s="87">
        <f t="shared" si="10"/>
        <v>1587593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103402023</v>
      </c>
      <c r="J59" s="10"/>
      <c r="K59" s="17"/>
      <c r="L59" s="81"/>
      <c r="M59" s="17"/>
      <c r="N59" s="82">
        <f t="shared" si="9"/>
        <v>1065257</v>
      </c>
      <c r="O59" s="17"/>
      <c r="P59" s="87">
        <f t="shared" si="8"/>
        <v>522336</v>
      </c>
      <c r="Q59" s="87">
        <f t="shared" si="10"/>
        <v>1587593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102331440</v>
      </c>
      <c r="J60" s="10"/>
      <c r="K60" s="17"/>
      <c r="L60" s="81"/>
      <c r="M60" s="17"/>
      <c r="N60" s="82">
        <f t="shared" si="9"/>
        <v>1070583</v>
      </c>
      <c r="O60" s="17"/>
      <c r="P60" s="87">
        <f t="shared" si="8"/>
        <v>517010</v>
      </c>
      <c r="Q60" s="87">
        <f t="shared" si="10"/>
        <v>1587593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101255504</v>
      </c>
      <c r="J61" s="10"/>
      <c r="K61" s="17"/>
      <c r="L61" s="81"/>
      <c r="M61" s="17"/>
      <c r="N61" s="82">
        <f t="shared" si="9"/>
        <v>1075936</v>
      </c>
      <c r="O61" s="17"/>
      <c r="P61" s="87">
        <f t="shared" si="8"/>
        <v>511657</v>
      </c>
      <c r="Q61" s="87">
        <f t="shared" si="10"/>
        <v>1587593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100174188</v>
      </c>
      <c r="J62" s="10"/>
      <c r="K62" s="17"/>
      <c r="L62" s="81"/>
      <c r="M62" s="17"/>
      <c r="N62" s="82">
        <f t="shared" si="9"/>
        <v>1081316</v>
      </c>
      <c r="O62" s="17"/>
      <c r="P62" s="87">
        <f t="shared" si="8"/>
        <v>506277</v>
      </c>
      <c r="Q62" s="87">
        <f t="shared" si="10"/>
        <v>1587593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99087465</v>
      </c>
      <c r="J63" s="10"/>
      <c r="K63" s="17"/>
      <c r="L63" s="81"/>
      <c r="M63" s="17"/>
      <c r="N63" s="82">
        <f t="shared" si="9"/>
        <v>1086723</v>
      </c>
      <c r="O63" s="17"/>
      <c r="P63" s="87">
        <f t="shared" si="8"/>
        <v>500870</v>
      </c>
      <c r="Q63" s="87">
        <f t="shared" si="10"/>
        <v>1587593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97995309</v>
      </c>
      <c r="J64" s="10"/>
      <c r="K64" s="17"/>
      <c r="L64" s="81"/>
      <c r="M64" s="17"/>
      <c r="N64" s="82">
        <f t="shared" si="9"/>
        <v>1092156</v>
      </c>
      <c r="O64" s="17"/>
      <c r="P64" s="87">
        <f t="shared" si="8"/>
        <v>495437</v>
      </c>
      <c r="Q64" s="87">
        <f t="shared" si="10"/>
        <v>1587593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96897692</v>
      </c>
      <c r="J65" s="10"/>
      <c r="K65" s="17"/>
      <c r="L65" s="81"/>
      <c r="M65" s="17"/>
      <c r="N65" s="82">
        <f t="shared" si="9"/>
        <v>1097617</v>
      </c>
      <c r="O65" s="17"/>
      <c r="P65" s="87">
        <f t="shared" si="8"/>
        <v>489976</v>
      </c>
      <c r="Q65" s="87">
        <f t="shared" si="10"/>
        <v>1587593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95794587</v>
      </c>
      <c r="J66" s="10"/>
      <c r="K66" s="17"/>
      <c r="L66" s="81"/>
      <c r="M66" s="17"/>
      <c r="N66" s="82">
        <f t="shared" si="9"/>
        <v>1103105</v>
      </c>
      <c r="O66" s="17"/>
      <c r="P66" s="87">
        <f t="shared" si="8"/>
        <v>484488</v>
      </c>
      <c r="Q66" s="87">
        <f t="shared" si="10"/>
        <v>1587593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94685966</v>
      </c>
      <c r="J67" s="10"/>
      <c r="K67" s="17"/>
      <c r="L67" s="81"/>
      <c r="M67" s="17"/>
      <c r="N67" s="82">
        <f t="shared" si="9"/>
        <v>1108621</v>
      </c>
      <c r="O67" s="17"/>
      <c r="P67" s="87">
        <f t="shared" si="8"/>
        <v>478972</v>
      </c>
      <c r="Q67" s="87">
        <f t="shared" si="10"/>
        <v>1587593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93571802</v>
      </c>
      <c r="J68" s="10"/>
      <c r="K68" s="17"/>
      <c r="L68" s="81"/>
      <c r="M68" s="17"/>
      <c r="N68" s="82">
        <f t="shared" si="9"/>
        <v>1114164</v>
      </c>
      <c r="O68" s="17"/>
      <c r="P68" s="87">
        <f t="shared" si="8"/>
        <v>473429</v>
      </c>
      <c r="Q68" s="87">
        <f t="shared" si="10"/>
        <v>1587593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92452068</v>
      </c>
      <c r="J69" s="10"/>
      <c r="K69" s="17"/>
      <c r="L69" s="81"/>
      <c r="M69" s="17"/>
      <c r="N69" s="82">
        <f t="shared" si="9"/>
        <v>1119734</v>
      </c>
      <c r="O69" s="17"/>
      <c r="P69" s="87">
        <f t="shared" si="8"/>
        <v>467859</v>
      </c>
      <c r="Q69" s="87">
        <f t="shared" si="10"/>
        <v>1587593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91326735</v>
      </c>
      <c r="J70" s="10"/>
      <c r="K70" s="17"/>
      <c r="L70" s="90"/>
      <c r="M70" s="91"/>
      <c r="N70" s="82">
        <f t="shared" si="9"/>
        <v>1125333</v>
      </c>
      <c r="O70" s="17"/>
      <c r="P70" s="87">
        <f t="shared" si="8"/>
        <v>462260</v>
      </c>
      <c r="Q70" s="87">
        <f t="shared" si="10"/>
        <v>1587593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90195775</v>
      </c>
      <c r="J71" s="10"/>
      <c r="K71" s="17"/>
      <c r="L71" s="90"/>
      <c r="M71" s="91"/>
      <c r="N71" s="82">
        <f t="shared" si="9"/>
        <v>1130960</v>
      </c>
      <c r="O71" s="17"/>
      <c r="P71" s="87">
        <f t="shared" si="8"/>
        <v>456633</v>
      </c>
      <c r="Q71" s="87">
        <f t="shared" si="10"/>
        <v>1587593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89059160</v>
      </c>
      <c r="J72" s="10"/>
      <c r="K72" s="17"/>
      <c r="L72" s="90"/>
      <c r="M72" s="91"/>
      <c r="N72" s="82">
        <f t="shared" si="9"/>
        <v>1136615</v>
      </c>
      <c r="O72" s="17"/>
      <c r="P72" s="87">
        <f t="shared" si="8"/>
        <v>450978</v>
      </c>
      <c r="Q72" s="87">
        <f t="shared" si="10"/>
        <v>1587593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87916862</v>
      </c>
      <c r="J73" s="10"/>
      <c r="K73" s="17"/>
      <c r="L73" s="90"/>
      <c r="M73" s="91"/>
      <c r="N73" s="82">
        <f t="shared" si="9"/>
        <v>1142298</v>
      </c>
      <c r="O73" s="17"/>
      <c r="P73" s="87">
        <f t="shared" si="8"/>
        <v>445295</v>
      </c>
      <c r="Q73" s="87">
        <f t="shared" si="10"/>
        <v>1587593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86768853</v>
      </c>
      <c r="J74" s="10"/>
      <c r="K74" s="17"/>
      <c r="L74" s="90"/>
      <c r="M74" s="91"/>
      <c r="N74" s="82">
        <f t="shared" si="9"/>
        <v>1148009</v>
      </c>
      <c r="O74" s="17"/>
      <c r="P74" s="87">
        <f t="shared" si="8"/>
        <v>439584</v>
      </c>
      <c r="Q74" s="87">
        <f t="shared" si="10"/>
        <v>1587593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85615104</v>
      </c>
      <c r="J75" s="10"/>
      <c r="K75" s="17"/>
      <c r="L75" s="90"/>
      <c r="M75" s="91"/>
      <c r="N75" s="82">
        <f t="shared" si="9"/>
        <v>1153749</v>
      </c>
      <c r="O75" s="17"/>
      <c r="P75" s="87">
        <f t="shared" si="8"/>
        <v>433844</v>
      </c>
      <c r="Q75" s="87">
        <f t="shared" si="10"/>
        <v>1587593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84455586</v>
      </c>
      <c r="J76" s="10"/>
      <c r="K76" s="17"/>
      <c r="L76" s="90"/>
      <c r="M76" s="91"/>
      <c r="N76" s="82">
        <f t="shared" si="9"/>
        <v>1159518</v>
      </c>
      <c r="O76" s="17"/>
      <c r="P76" s="87">
        <f t="shared" si="8"/>
        <v>428075</v>
      </c>
      <c r="Q76" s="87">
        <f t="shared" si="10"/>
        <v>1587593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83290270</v>
      </c>
      <c r="J77" s="10"/>
      <c r="K77" s="17"/>
      <c r="L77" s="90"/>
      <c r="M77" s="91"/>
      <c r="N77" s="82">
        <f t="shared" si="9"/>
        <v>1165316</v>
      </c>
      <c r="O77" s="17"/>
      <c r="P77" s="87">
        <f t="shared" si="8"/>
        <v>422277</v>
      </c>
      <c r="Q77" s="87">
        <f t="shared" si="10"/>
        <v>1587593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82119128</v>
      </c>
      <c r="J78" s="10"/>
      <c r="K78" s="17"/>
      <c r="L78" s="81"/>
      <c r="M78" s="17"/>
      <c r="N78" s="82">
        <f t="shared" si="9"/>
        <v>1171142</v>
      </c>
      <c r="O78" s="17"/>
      <c r="P78" s="87">
        <f t="shared" si="8"/>
        <v>416451</v>
      </c>
      <c r="Q78" s="87">
        <f t="shared" si="10"/>
        <v>1587593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80942130</v>
      </c>
      <c r="J79" s="10"/>
      <c r="K79" s="17"/>
      <c r="L79" s="81"/>
      <c r="M79" s="17"/>
      <c r="N79" s="82">
        <f t="shared" si="9"/>
        <v>1176998</v>
      </c>
      <c r="O79" s="17"/>
      <c r="P79" s="87">
        <f t="shared" si="8"/>
        <v>410595</v>
      </c>
      <c r="Q79" s="87">
        <f t="shared" si="10"/>
        <v>1587593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79759247</v>
      </c>
      <c r="J80" s="10"/>
      <c r="K80" s="17"/>
      <c r="L80" s="81"/>
      <c r="M80" s="17"/>
      <c r="N80" s="82">
        <f t="shared" si="9"/>
        <v>1182883</v>
      </c>
      <c r="O80" s="17"/>
      <c r="P80" s="87">
        <f t="shared" si="8"/>
        <v>404710</v>
      </c>
      <c r="Q80" s="87">
        <f t="shared" si="10"/>
        <v>1587593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78570450</v>
      </c>
      <c r="J81" s="10"/>
      <c r="K81" s="17"/>
      <c r="L81" s="81"/>
      <c r="M81" s="17"/>
      <c r="N81" s="82">
        <f t="shared" si="9"/>
        <v>1188797</v>
      </c>
      <c r="O81" s="17"/>
      <c r="P81" s="87">
        <f t="shared" si="8"/>
        <v>398796</v>
      </c>
      <c r="Q81" s="87">
        <f t="shared" si="10"/>
        <v>1587593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77375709</v>
      </c>
      <c r="J82" s="10"/>
      <c r="K82" s="17"/>
      <c r="L82" s="81"/>
      <c r="M82" s="17"/>
      <c r="N82" s="82">
        <f t="shared" si="9"/>
        <v>1194741</v>
      </c>
      <c r="O82" s="17"/>
      <c r="P82" s="87">
        <f t="shared" si="8"/>
        <v>392852</v>
      </c>
      <c r="Q82" s="87">
        <f t="shared" si="10"/>
        <v>1587593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76174994</v>
      </c>
      <c r="J83" s="10"/>
      <c r="K83" s="17"/>
      <c r="L83" s="81"/>
      <c r="M83" s="17"/>
      <c r="N83" s="82">
        <f t="shared" si="9"/>
        <v>1200715</v>
      </c>
      <c r="O83" s="17"/>
      <c r="P83" s="87">
        <f t="shared" si="8"/>
        <v>386878</v>
      </c>
      <c r="Q83" s="87">
        <f t="shared" si="10"/>
        <v>1587593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74968275</v>
      </c>
      <c r="J84" s="10"/>
      <c r="K84" s="17"/>
      <c r="L84" s="81"/>
      <c r="M84" s="17"/>
      <c r="N84" s="82">
        <f t="shared" si="9"/>
        <v>1206719</v>
      </c>
      <c r="O84" s="17"/>
      <c r="P84" s="87">
        <f t="shared" si="8"/>
        <v>380874</v>
      </c>
      <c r="Q84" s="87">
        <f t="shared" si="10"/>
        <v>1587593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73755523</v>
      </c>
      <c r="J85" s="10"/>
      <c r="K85" s="17"/>
      <c r="L85" s="81"/>
      <c r="M85" s="17"/>
      <c r="N85" s="82">
        <f t="shared" si="9"/>
        <v>1212752</v>
      </c>
      <c r="O85" s="17"/>
      <c r="P85" s="87">
        <f t="shared" si="8"/>
        <v>374841</v>
      </c>
      <c r="Q85" s="87">
        <f t="shared" si="10"/>
        <v>1587593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72536707</v>
      </c>
      <c r="J86" s="10"/>
      <c r="K86" s="17"/>
      <c r="L86" s="81"/>
      <c r="M86" s="17"/>
      <c r="N86" s="82">
        <f t="shared" si="9"/>
        <v>1218816</v>
      </c>
      <c r="O86" s="17"/>
      <c r="P86" s="87">
        <f t="shared" si="8"/>
        <v>368777</v>
      </c>
      <c r="Q86" s="87">
        <f t="shared" si="10"/>
        <v>1587593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71311797</v>
      </c>
      <c r="J87" s="10"/>
      <c r="K87" s="17"/>
      <c r="L87" s="81"/>
      <c r="M87" s="17"/>
      <c r="N87" s="82">
        <f t="shared" si="9"/>
        <v>1224910</v>
      </c>
      <c r="O87" s="17"/>
      <c r="P87" s="87">
        <f t="shared" si="8"/>
        <v>362683</v>
      </c>
      <c r="Q87" s="87">
        <f t="shared" si="10"/>
        <v>1587593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70080762</v>
      </c>
      <c r="J88" s="10"/>
      <c r="K88" s="17"/>
      <c r="L88" s="81"/>
      <c r="M88" s="17"/>
      <c r="N88" s="82">
        <f t="shared" si="9"/>
        <v>1231035</v>
      </c>
      <c r="O88" s="17"/>
      <c r="P88" s="87">
        <f t="shared" si="8"/>
        <v>356558</v>
      </c>
      <c r="Q88" s="87">
        <f t="shared" si="10"/>
        <v>1587593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68843572</v>
      </c>
      <c r="J89" s="10"/>
      <c r="K89" s="17"/>
      <c r="L89" s="81"/>
      <c r="M89" s="17"/>
      <c r="N89" s="82">
        <f t="shared" si="9"/>
        <v>1237190</v>
      </c>
      <c r="O89" s="17"/>
      <c r="P89" s="87">
        <f t="shared" si="8"/>
        <v>350403</v>
      </c>
      <c r="Q89" s="87">
        <f t="shared" si="10"/>
        <v>1587593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67600196</v>
      </c>
      <c r="J90" s="10"/>
      <c r="K90" s="17"/>
      <c r="L90" s="81"/>
      <c r="M90" s="17"/>
      <c r="N90" s="82">
        <f t="shared" si="9"/>
        <v>1243376</v>
      </c>
      <c r="O90" s="17"/>
      <c r="P90" s="87">
        <f t="shared" si="8"/>
        <v>344217</v>
      </c>
      <c r="Q90" s="87">
        <f t="shared" si="10"/>
        <v>1587593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66350603</v>
      </c>
      <c r="J91" s="10"/>
      <c r="K91" s="17"/>
      <c r="L91" s="81"/>
      <c r="M91" s="17"/>
      <c r="N91" s="82">
        <f t="shared" si="9"/>
        <v>1249593</v>
      </c>
      <c r="O91" s="17"/>
      <c r="P91" s="87">
        <f t="shared" si="8"/>
        <v>338000</v>
      </c>
      <c r="Q91" s="87">
        <f t="shared" si="10"/>
        <v>1587593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65094763</v>
      </c>
      <c r="J92" s="10"/>
      <c r="K92" s="17"/>
      <c r="L92" s="81"/>
      <c r="M92" s="17"/>
      <c r="N92" s="82">
        <f t="shared" si="9"/>
        <v>1255840</v>
      </c>
      <c r="O92" s="17"/>
      <c r="P92" s="87">
        <f t="shared" si="8"/>
        <v>331753</v>
      </c>
      <c r="Q92" s="87">
        <f t="shared" si="10"/>
        <v>1587593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63832643</v>
      </c>
      <c r="J93" s="10"/>
      <c r="K93" s="17"/>
      <c r="L93" s="81"/>
      <c r="M93" s="17"/>
      <c r="N93" s="82">
        <f t="shared" si="9"/>
        <v>1262120</v>
      </c>
      <c r="O93" s="17"/>
      <c r="P93" s="87">
        <f t="shared" si="8"/>
        <v>325473</v>
      </c>
      <c r="Q93" s="87">
        <f t="shared" si="10"/>
        <v>1587593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62564213</v>
      </c>
      <c r="J94" s="10"/>
      <c r="K94" s="17"/>
      <c r="L94" s="81"/>
      <c r="M94" s="17"/>
      <c r="N94" s="82">
        <f t="shared" si="9"/>
        <v>1268430</v>
      </c>
      <c r="O94" s="17"/>
      <c r="P94" s="87">
        <f t="shared" si="8"/>
        <v>319163</v>
      </c>
      <c r="Q94" s="87">
        <f t="shared" si="10"/>
        <v>1587593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61289441</v>
      </c>
      <c r="J95" s="10"/>
      <c r="K95" s="17"/>
      <c r="L95" s="81"/>
      <c r="M95" s="17"/>
      <c r="N95" s="82">
        <f t="shared" si="9"/>
        <v>1274772</v>
      </c>
      <c r="O95" s="17"/>
      <c r="P95" s="87">
        <f t="shared" si="8"/>
        <v>312821</v>
      </c>
      <c r="Q95" s="87">
        <f t="shared" si="10"/>
        <v>1587593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60008295</v>
      </c>
      <c r="J96" s="10"/>
      <c r="K96" s="17"/>
      <c r="L96" s="81"/>
      <c r="M96" s="17"/>
      <c r="N96" s="82">
        <f t="shared" si="9"/>
        <v>1281146</v>
      </c>
      <c r="O96" s="17"/>
      <c r="P96" s="87">
        <f t="shared" si="8"/>
        <v>306447</v>
      </c>
      <c r="Q96" s="87">
        <f t="shared" si="10"/>
        <v>1587593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58720743</v>
      </c>
      <c r="J97" s="10"/>
      <c r="K97" s="17"/>
      <c r="L97" s="81"/>
      <c r="M97" s="17"/>
      <c r="N97" s="82">
        <f t="shared" si="9"/>
        <v>1287552</v>
      </c>
      <c r="O97" s="17"/>
      <c r="P97" s="87">
        <f t="shared" si="8"/>
        <v>300041</v>
      </c>
      <c r="Q97" s="87">
        <f t="shared" si="10"/>
        <v>1587593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57426753</v>
      </c>
      <c r="J98" s="10"/>
      <c r="K98" s="17"/>
      <c r="L98" s="81"/>
      <c r="M98" s="17"/>
      <c r="N98" s="82">
        <f t="shared" si="9"/>
        <v>1293990</v>
      </c>
      <c r="O98" s="17"/>
      <c r="P98" s="87">
        <f t="shared" si="8"/>
        <v>293603</v>
      </c>
      <c r="Q98" s="87">
        <f t="shared" si="10"/>
        <v>1587593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56126293</v>
      </c>
      <c r="J99" s="10"/>
      <c r="K99" s="17"/>
      <c r="L99" s="81"/>
      <c r="M99" s="17"/>
      <c r="N99" s="82">
        <f t="shared" si="9"/>
        <v>1300460</v>
      </c>
      <c r="O99" s="17"/>
      <c r="P99" s="87">
        <f t="shared" si="8"/>
        <v>287133</v>
      </c>
      <c r="Q99" s="87">
        <f t="shared" si="10"/>
        <v>1587593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54819331</v>
      </c>
      <c r="J100" s="10"/>
      <c r="K100" s="17"/>
      <c r="L100" s="81"/>
      <c r="M100" s="17"/>
      <c r="N100" s="82">
        <f t="shared" si="9"/>
        <v>1306962</v>
      </c>
      <c r="O100" s="17"/>
      <c r="P100" s="87">
        <f t="shared" si="8"/>
        <v>280631</v>
      </c>
      <c r="Q100" s="87">
        <f t="shared" si="10"/>
        <v>1587593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53505834</v>
      </c>
      <c r="J101" s="10"/>
      <c r="K101" s="17"/>
      <c r="L101" s="81"/>
      <c r="M101" s="17"/>
      <c r="N101" s="82">
        <f t="shared" si="9"/>
        <v>1313497</v>
      </c>
      <c r="O101" s="17"/>
      <c r="P101" s="87">
        <f t="shared" si="8"/>
        <v>274096</v>
      </c>
      <c r="Q101" s="87">
        <f t="shared" si="10"/>
        <v>1587593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52185770</v>
      </c>
      <c r="J102" s="10"/>
      <c r="K102" s="17"/>
      <c r="L102" s="81"/>
      <c r="M102" s="17"/>
      <c r="N102" s="82">
        <f t="shared" si="9"/>
        <v>1320064</v>
      </c>
      <c r="O102" s="17"/>
      <c r="P102" s="87">
        <f t="shared" si="8"/>
        <v>267529</v>
      </c>
      <c r="Q102" s="87">
        <f t="shared" si="10"/>
        <v>1587593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50859105</v>
      </c>
      <c r="J103" s="10"/>
      <c r="K103" s="17"/>
      <c r="L103" s="81"/>
      <c r="M103" s="17"/>
      <c r="N103" s="82">
        <f t="shared" si="9"/>
        <v>1326665</v>
      </c>
      <c r="O103" s="17"/>
      <c r="P103" s="87">
        <f t="shared" si="8"/>
        <v>260928</v>
      </c>
      <c r="Q103" s="87">
        <f t="shared" si="10"/>
        <v>1587593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49525807</v>
      </c>
      <c r="J104" s="10"/>
      <c r="K104" s="17"/>
      <c r="L104" s="81"/>
      <c r="M104" s="17"/>
      <c r="N104" s="82">
        <f t="shared" si="9"/>
        <v>1333298</v>
      </c>
      <c r="O104" s="17"/>
      <c r="P104" s="87">
        <f t="shared" si="8"/>
        <v>254295</v>
      </c>
      <c r="Q104" s="87">
        <f t="shared" si="10"/>
        <v>1587593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48185843</v>
      </c>
      <c r="J105" s="10"/>
      <c r="K105" s="17"/>
      <c r="L105" s="81"/>
      <c r="M105" s="17"/>
      <c r="N105" s="82">
        <f t="shared" si="9"/>
        <v>1339964</v>
      </c>
      <c r="O105" s="17"/>
      <c r="P105" s="87">
        <f t="shared" si="8"/>
        <v>247629</v>
      </c>
      <c r="Q105" s="87">
        <f t="shared" si="10"/>
        <v>1587593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46839179</v>
      </c>
      <c r="J106" s="10"/>
      <c r="K106" s="17"/>
      <c r="L106" s="81"/>
      <c r="M106" s="17"/>
      <c r="N106" s="82">
        <f t="shared" si="9"/>
        <v>1346664</v>
      </c>
      <c r="O106" s="17"/>
      <c r="P106" s="87">
        <f t="shared" si="8"/>
        <v>240929</v>
      </c>
      <c r="Q106" s="87">
        <f t="shared" si="10"/>
        <v>1587593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45485781</v>
      </c>
      <c r="J107" s="10"/>
      <c r="K107" s="17"/>
      <c r="L107" s="81"/>
      <c r="M107" s="17"/>
      <c r="N107" s="82">
        <f t="shared" si="9"/>
        <v>1353398</v>
      </c>
      <c r="O107" s="17"/>
      <c r="P107" s="87">
        <f t="shared" si="8"/>
        <v>234195</v>
      </c>
      <c r="Q107" s="87">
        <f t="shared" si="10"/>
        <v>1587593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44125616</v>
      </c>
      <c r="J108" s="10"/>
      <c r="K108" s="17"/>
      <c r="L108" s="81"/>
      <c r="M108" s="17"/>
      <c r="N108" s="82">
        <f t="shared" si="9"/>
        <v>1360165</v>
      </c>
      <c r="O108" s="17"/>
      <c r="P108" s="87">
        <f t="shared" si="8"/>
        <v>227428</v>
      </c>
      <c r="Q108" s="87">
        <f t="shared" si="10"/>
        <v>1587593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42758651</v>
      </c>
      <c r="J109" s="10"/>
      <c r="K109" s="17"/>
      <c r="L109" s="81"/>
      <c r="M109" s="17"/>
      <c r="N109" s="82">
        <f t="shared" si="9"/>
        <v>1366965</v>
      </c>
      <c r="O109" s="17"/>
      <c r="P109" s="87">
        <f t="shared" si="8"/>
        <v>220628</v>
      </c>
      <c r="Q109" s="87">
        <f t="shared" si="10"/>
        <v>1587593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41384851</v>
      </c>
      <c r="J110" s="10"/>
      <c r="K110" s="17"/>
      <c r="L110" s="81"/>
      <c r="M110" s="17"/>
      <c r="N110" s="82">
        <f t="shared" si="9"/>
        <v>1373800</v>
      </c>
      <c r="O110" s="17"/>
      <c r="P110" s="87">
        <f t="shared" si="8"/>
        <v>213793</v>
      </c>
      <c r="Q110" s="87">
        <f t="shared" si="10"/>
        <v>1587593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40004182</v>
      </c>
      <c r="J111" s="10"/>
      <c r="K111" s="17"/>
      <c r="L111" s="81"/>
      <c r="M111" s="17"/>
      <c r="N111" s="82">
        <f t="shared" si="9"/>
        <v>1380669</v>
      </c>
      <c r="O111" s="17"/>
      <c r="P111" s="87">
        <f t="shared" si="8"/>
        <v>206924</v>
      </c>
      <c r="Q111" s="87">
        <f t="shared" si="10"/>
        <v>1587593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38616609</v>
      </c>
      <c r="J112" s="10"/>
      <c r="K112" s="17"/>
      <c r="L112" s="81"/>
      <c r="M112" s="17"/>
      <c r="N112" s="82">
        <f t="shared" si="9"/>
        <v>1387573</v>
      </c>
      <c r="O112" s="17"/>
      <c r="P112" s="87">
        <f t="shared" si="8"/>
        <v>200020</v>
      </c>
      <c r="Q112" s="87">
        <f t="shared" si="10"/>
        <v>1587593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37222099</v>
      </c>
      <c r="J113" s="10"/>
      <c r="K113" s="17"/>
      <c r="L113" s="81"/>
      <c r="M113" s="17"/>
      <c r="N113" s="82">
        <f t="shared" si="9"/>
        <v>1394510</v>
      </c>
      <c r="O113" s="17"/>
      <c r="P113" s="87">
        <f t="shared" si="8"/>
        <v>193083</v>
      </c>
      <c r="Q113" s="87">
        <f t="shared" si="10"/>
        <v>1587593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35820616</v>
      </c>
      <c r="J114" s="10"/>
      <c r="K114" s="17"/>
      <c r="L114" s="81"/>
      <c r="M114" s="17"/>
      <c r="N114" s="82">
        <f t="shared" si="9"/>
        <v>1401483</v>
      </c>
      <c r="O114" s="17"/>
      <c r="P114" s="87">
        <f t="shared" si="8"/>
        <v>186110</v>
      </c>
      <c r="Q114" s="87">
        <f t="shared" si="10"/>
        <v>1587593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34412126</v>
      </c>
      <c r="J115" s="10"/>
      <c r="K115" s="17"/>
      <c r="L115" s="81"/>
      <c r="M115" s="17"/>
      <c r="N115" s="82">
        <f t="shared" si="9"/>
        <v>1408490</v>
      </c>
      <c r="O115" s="17"/>
      <c r="P115" s="87">
        <f t="shared" si="8"/>
        <v>179103</v>
      </c>
      <c r="Q115" s="87">
        <f t="shared" si="10"/>
        <v>1587593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32996593</v>
      </c>
      <c r="J116" s="10"/>
      <c r="K116" s="17"/>
      <c r="L116" s="81"/>
      <c r="M116" s="17"/>
      <c r="N116" s="82">
        <f t="shared" si="9"/>
        <v>1415533</v>
      </c>
      <c r="O116" s="17"/>
      <c r="P116" s="87">
        <f t="shared" si="8"/>
        <v>172060</v>
      </c>
      <c r="Q116" s="87">
        <f t="shared" si="10"/>
        <v>1587593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31573982</v>
      </c>
      <c r="J117" s="10"/>
      <c r="K117" s="17"/>
      <c r="L117" s="81"/>
      <c r="M117" s="17"/>
      <c r="N117" s="82">
        <f t="shared" si="9"/>
        <v>1422611</v>
      </c>
      <c r="O117" s="17"/>
      <c r="P117" s="87">
        <f t="shared" si="8"/>
        <v>164982</v>
      </c>
      <c r="Q117" s="87">
        <f t="shared" si="10"/>
        <v>1587593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30144258</v>
      </c>
      <c r="J118" s="10"/>
      <c r="K118" s="17"/>
      <c r="L118" s="81"/>
      <c r="M118" s="17"/>
      <c r="N118" s="82">
        <f t="shared" si="9"/>
        <v>1429724</v>
      </c>
      <c r="O118" s="17"/>
      <c r="P118" s="87">
        <f t="shared" si="8"/>
        <v>157869</v>
      </c>
      <c r="Q118" s="87">
        <f t="shared" si="10"/>
        <v>1587593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28707386</v>
      </c>
      <c r="J119" s="10"/>
      <c r="K119" s="17"/>
      <c r="L119" s="81"/>
      <c r="M119" s="17"/>
      <c r="N119" s="82">
        <f t="shared" si="9"/>
        <v>1436872</v>
      </c>
      <c r="O119" s="17"/>
      <c r="P119" s="87">
        <f t="shared" si="8"/>
        <v>150721</v>
      </c>
      <c r="Q119" s="87">
        <f t="shared" si="10"/>
        <v>1587593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27263329</v>
      </c>
      <c r="J120" s="10"/>
      <c r="K120" s="17"/>
      <c r="L120" s="81"/>
      <c r="M120" s="17"/>
      <c r="N120" s="82">
        <f t="shared" si="9"/>
        <v>1444057</v>
      </c>
      <c r="O120" s="17"/>
      <c r="P120" s="87">
        <f t="shared" si="8"/>
        <v>143536</v>
      </c>
      <c r="Q120" s="87">
        <f t="shared" si="10"/>
        <v>1587593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25812052</v>
      </c>
      <c r="J121" s="10"/>
      <c r="K121" s="17"/>
      <c r="L121" s="81"/>
      <c r="M121" s="17"/>
      <c r="N121" s="82">
        <f t="shared" si="9"/>
        <v>1451277</v>
      </c>
      <c r="O121" s="17"/>
      <c r="P121" s="87">
        <f t="shared" si="8"/>
        <v>136316</v>
      </c>
      <c r="Q121" s="87">
        <f t="shared" si="10"/>
        <v>1587593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24353519</v>
      </c>
      <c r="J122" s="10"/>
      <c r="K122" s="17"/>
      <c r="L122" s="81"/>
      <c r="M122" s="17"/>
      <c r="N122" s="82">
        <f t="shared" si="9"/>
        <v>1458533</v>
      </c>
      <c r="O122" s="17"/>
      <c r="P122" s="87">
        <f t="shared" si="8"/>
        <v>129060</v>
      </c>
      <c r="Q122" s="87">
        <f t="shared" si="10"/>
        <v>1587593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22887693</v>
      </c>
      <c r="J123" s="10"/>
      <c r="K123" s="17"/>
      <c r="L123" s="81"/>
      <c r="M123" s="17"/>
      <c r="N123" s="82">
        <f t="shared" si="9"/>
        <v>1465826</v>
      </c>
      <c r="O123" s="17"/>
      <c r="P123" s="87">
        <f t="shared" si="8"/>
        <v>121767</v>
      </c>
      <c r="Q123" s="87">
        <f t="shared" si="10"/>
        <v>1587593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21414538</v>
      </c>
      <c r="J124" s="10"/>
      <c r="K124" s="17"/>
      <c r="L124" s="81"/>
      <c r="M124" s="17"/>
      <c r="N124" s="82">
        <f t="shared" si="9"/>
        <v>1473155</v>
      </c>
      <c r="O124" s="17"/>
      <c r="P124" s="87">
        <f t="shared" si="8"/>
        <v>114438</v>
      </c>
      <c r="Q124" s="87">
        <f t="shared" si="10"/>
        <v>1587593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19934017</v>
      </c>
      <c r="J125" s="10"/>
      <c r="K125" s="17"/>
      <c r="L125" s="81"/>
      <c r="M125" s="17"/>
      <c r="N125" s="82">
        <f t="shared" si="9"/>
        <v>1480521</v>
      </c>
      <c r="O125" s="17"/>
      <c r="P125" s="87">
        <f t="shared" si="8"/>
        <v>107072</v>
      </c>
      <c r="Q125" s="87">
        <f t="shared" si="10"/>
        <v>1587593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18446094</v>
      </c>
      <c r="J126" s="10"/>
      <c r="K126" s="17"/>
      <c r="L126" s="81"/>
      <c r="M126" s="17"/>
      <c r="N126" s="82">
        <f t="shared" si="9"/>
        <v>1487923</v>
      </c>
      <c r="O126" s="17"/>
      <c r="P126" s="87">
        <f t="shared" si="8"/>
        <v>99670</v>
      </c>
      <c r="Q126" s="87">
        <f t="shared" si="10"/>
        <v>1587593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16950731</v>
      </c>
      <c r="J127" s="10"/>
      <c r="K127" s="17"/>
      <c r="L127" s="81"/>
      <c r="M127" s="17"/>
      <c r="N127" s="82">
        <f t="shared" si="9"/>
        <v>1495363</v>
      </c>
      <c r="O127" s="17"/>
      <c r="P127" s="87">
        <f t="shared" si="8"/>
        <v>92230</v>
      </c>
      <c r="Q127" s="87">
        <f t="shared" si="10"/>
        <v>1587593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15447891</v>
      </c>
      <c r="J128" s="10"/>
      <c r="K128" s="17"/>
      <c r="L128" s="81"/>
      <c r="M128" s="17"/>
      <c r="N128" s="82">
        <f t="shared" si="9"/>
        <v>1502840</v>
      </c>
      <c r="O128" s="17"/>
      <c r="P128" s="87">
        <f t="shared" si="8"/>
        <v>84753</v>
      </c>
      <c r="Q128" s="87">
        <f t="shared" si="10"/>
        <v>1587593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13937537</v>
      </c>
      <c r="J129" s="10"/>
      <c r="K129" s="17"/>
      <c r="L129" s="81"/>
      <c r="M129" s="17"/>
      <c r="N129" s="82">
        <f t="shared" si="9"/>
        <v>1510354</v>
      </c>
      <c r="O129" s="17"/>
      <c r="P129" s="87">
        <f t="shared" si="8"/>
        <v>77239</v>
      </c>
      <c r="Q129" s="87">
        <f t="shared" si="10"/>
        <v>1587593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12419631</v>
      </c>
      <c r="J130" s="10"/>
      <c r="K130" s="17"/>
      <c r="L130" s="81"/>
      <c r="M130" s="17"/>
      <c r="N130" s="82">
        <f t="shared" si="9"/>
        <v>1517906</v>
      </c>
      <c r="O130" s="17"/>
      <c r="P130" s="87">
        <f t="shared" si="8"/>
        <v>69687</v>
      </c>
      <c r="Q130" s="87">
        <f t="shared" si="10"/>
        <v>1587593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10894136</v>
      </c>
      <c r="J131" s="10"/>
      <c r="K131" s="17"/>
      <c r="L131" s="81"/>
      <c r="M131" s="17"/>
      <c r="N131" s="82">
        <f t="shared" si="9"/>
        <v>1525495</v>
      </c>
      <c r="O131" s="17"/>
      <c r="P131" s="87">
        <f t="shared" si="8"/>
        <v>62098</v>
      </c>
      <c r="Q131" s="87">
        <f t="shared" si="10"/>
        <v>1587593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9361013</v>
      </c>
      <c r="J132" s="10"/>
      <c r="K132" s="17"/>
      <c r="L132" s="81"/>
      <c r="M132" s="17"/>
      <c r="N132" s="82">
        <f t="shared" si="9"/>
        <v>1533123</v>
      </c>
      <c r="O132" s="17"/>
      <c r="P132" s="87">
        <f t="shared" si="8"/>
        <v>54470</v>
      </c>
      <c r="Q132" s="87">
        <f t="shared" si="10"/>
        <v>1587593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7820225</v>
      </c>
      <c r="J133" s="10"/>
      <c r="K133" s="17"/>
      <c r="L133" s="81"/>
      <c r="M133" s="17"/>
      <c r="N133" s="82">
        <f t="shared" si="9"/>
        <v>1540788</v>
      </c>
      <c r="O133" s="17"/>
      <c r="P133" s="87">
        <f t="shared" si="8"/>
        <v>46805</v>
      </c>
      <c r="Q133" s="87">
        <f t="shared" si="10"/>
        <v>1587593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6271733</v>
      </c>
      <c r="J134" s="10"/>
      <c r="K134" s="17"/>
      <c r="L134" s="81"/>
      <c r="M134" s="17"/>
      <c r="N134" s="82">
        <f t="shared" si="9"/>
        <v>1548492</v>
      </c>
      <c r="O134" s="17"/>
      <c r="P134" s="87">
        <f t="shared" si="8"/>
        <v>39101</v>
      </c>
      <c r="Q134" s="87">
        <f t="shared" si="10"/>
        <v>1587593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4715498</v>
      </c>
      <c r="J135" s="10"/>
      <c r="K135" s="17"/>
      <c r="L135" s="81"/>
      <c r="M135" s="17"/>
      <c r="N135" s="82">
        <f t="shared" si="9"/>
        <v>1556235</v>
      </c>
      <c r="O135" s="17"/>
      <c r="P135" s="87">
        <f t="shared" si="8"/>
        <v>31358</v>
      </c>
      <c r="Q135" s="87">
        <f t="shared" si="10"/>
        <v>1587593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3151482</v>
      </c>
      <c r="J136" s="10"/>
      <c r="K136" s="17"/>
      <c r="L136" s="81"/>
      <c r="M136" s="17"/>
      <c r="N136" s="82">
        <f t="shared" si="9"/>
        <v>1564016</v>
      </c>
      <c r="O136" s="17"/>
      <c r="P136" s="87">
        <f t="shared" si="8"/>
        <v>23577</v>
      </c>
      <c r="Q136" s="87">
        <f t="shared" si="10"/>
        <v>1587593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1579646</v>
      </c>
      <c r="J137" s="10"/>
      <c r="K137" s="17"/>
      <c r="L137" s="81"/>
      <c r="M137" s="17"/>
      <c r="N137" s="82">
        <f t="shared" si="9"/>
        <v>1571836</v>
      </c>
      <c r="O137" s="17"/>
      <c r="P137" s="87">
        <f t="shared" si="8"/>
        <v>15757</v>
      </c>
      <c r="Q137" s="87">
        <f t="shared" si="10"/>
        <v>1587593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1579646</v>
      </c>
      <c r="O138" s="17"/>
      <c r="P138" s="87">
        <f t="shared" si="8"/>
        <v>7898</v>
      </c>
      <c r="Q138" s="87">
        <f t="shared" si="10"/>
        <v>1587544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143000000</v>
      </c>
      <c r="O139" s="17"/>
      <c r="P139" s="83">
        <f t="shared" ref="P139:Q139" si="13">SUM(P19:P138)</f>
        <v>47511111</v>
      </c>
      <c r="Q139" s="83">
        <f t="shared" si="13"/>
        <v>190511111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8.56E7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85600000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85600000</v>
      </c>
      <c r="O15" s="17"/>
      <c r="P15" s="65">
        <f t="shared" ref="P15:Q15" si="1">P139</f>
        <v>28440199</v>
      </c>
      <c r="Q15" s="66">
        <f t="shared" si="1"/>
        <v>114040199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85600000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85077665</v>
      </c>
      <c r="J19" s="10"/>
      <c r="K19" s="17"/>
      <c r="L19" s="81"/>
      <c r="M19" s="17"/>
      <c r="N19" s="82">
        <f>ROUND(($Q$19-$P$19-$L$19),0)</f>
        <v>522335</v>
      </c>
      <c r="O19" s="17"/>
      <c r="P19" s="87">
        <f t="shared" ref="P19:P138" si="8">ROUNDDOWN((I18*$I$6),0)</f>
        <v>428000</v>
      </c>
      <c r="Q19" s="87">
        <f>ROUND((-PMT($I$6,$I$7,$I$5,0,0)+L19),0)</f>
        <v>950335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84552718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524947</v>
      </c>
      <c r="O20" s="17"/>
      <c r="P20" s="87">
        <f t="shared" si="8"/>
        <v>425388</v>
      </c>
      <c r="Q20" s="87">
        <f t="shared" ref="Q20:Q138" si="10">SUM(L20:P20)</f>
        <v>950335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84025146</v>
      </c>
      <c r="J21" s="10"/>
      <c r="K21" s="17"/>
      <c r="L21" s="81"/>
      <c r="M21" s="17"/>
      <c r="N21" s="82">
        <f t="shared" si="9"/>
        <v>527572</v>
      </c>
      <c r="O21" s="17"/>
      <c r="P21" s="87">
        <f t="shared" si="8"/>
        <v>422763</v>
      </c>
      <c r="Q21" s="87">
        <f t="shared" si="10"/>
        <v>950335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83494936</v>
      </c>
      <c r="J22" s="10"/>
      <c r="K22" s="17"/>
      <c r="L22" s="81"/>
      <c r="M22" s="17"/>
      <c r="N22" s="82">
        <f t="shared" si="9"/>
        <v>530210</v>
      </c>
      <c r="O22" s="17"/>
      <c r="P22" s="87">
        <f t="shared" si="8"/>
        <v>420125</v>
      </c>
      <c r="Q22" s="87">
        <f t="shared" si="10"/>
        <v>950335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82962075</v>
      </c>
      <c r="J23" s="10"/>
      <c r="K23" s="17"/>
      <c r="L23" s="81"/>
      <c r="M23" s="17"/>
      <c r="N23" s="82">
        <f t="shared" si="9"/>
        <v>532861</v>
      </c>
      <c r="O23" s="17"/>
      <c r="P23" s="87">
        <f t="shared" si="8"/>
        <v>417474</v>
      </c>
      <c r="Q23" s="87">
        <f t="shared" si="10"/>
        <v>950335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82426550</v>
      </c>
      <c r="J24" s="10"/>
      <c r="K24" s="17"/>
      <c r="L24" s="81"/>
      <c r="M24" s="17"/>
      <c r="N24" s="82">
        <f t="shared" si="9"/>
        <v>535525</v>
      </c>
      <c r="O24" s="17"/>
      <c r="P24" s="87">
        <f t="shared" si="8"/>
        <v>414810</v>
      </c>
      <c r="Q24" s="87">
        <f t="shared" si="10"/>
        <v>950335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81888347</v>
      </c>
      <c r="J25" s="10"/>
      <c r="K25" s="17"/>
      <c r="L25" s="81"/>
      <c r="M25" s="17"/>
      <c r="N25" s="82">
        <f t="shared" si="9"/>
        <v>538203</v>
      </c>
      <c r="O25" s="17"/>
      <c r="P25" s="87">
        <f t="shared" si="8"/>
        <v>412132</v>
      </c>
      <c r="Q25" s="87">
        <f t="shared" si="10"/>
        <v>950335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81347453</v>
      </c>
      <c r="J26" s="10"/>
      <c r="K26" s="17"/>
      <c r="L26" s="81"/>
      <c r="M26" s="17"/>
      <c r="N26" s="82">
        <f t="shared" si="9"/>
        <v>540894</v>
      </c>
      <c r="O26" s="17"/>
      <c r="P26" s="87">
        <f t="shared" si="8"/>
        <v>409441</v>
      </c>
      <c r="Q26" s="87">
        <f t="shared" si="10"/>
        <v>950335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80803855</v>
      </c>
      <c r="J27" s="10"/>
      <c r="K27" s="17"/>
      <c r="L27" s="81"/>
      <c r="M27" s="17"/>
      <c r="N27" s="82">
        <f t="shared" si="9"/>
        <v>543598</v>
      </c>
      <c r="O27" s="17"/>
      <c r="P27" s="87">
        <f t="shared" si="8"/>
        <v>406737</v>
      </c>
      <c r="Q27" s="87">
        <f t="shared" si="10"/>
        <v>950335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80257539</v>
      </c>
      <c r="J28" s="10"/>
      <c r="K28" s="17"/>
      <c r="L28" s="81"/>
      <c r="M28" s="17"/>
      <c r="N28" s="82">
        <f t="shared" si="9"/>
        <v>546316</v>
      </c>
      <c r="O28" s="17"/>
      <c r="P28" s="87">
        <f t="shared" si="8"/>
        <v>404019</v>
      </c>
      <c r="Q28" s="87">
        <f t="shared" si="10"/>
        <v>950335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79708491</v>
      </c>
      <c r="J29" s="10"/>
      <c r="K29" s="17"/>
      <c r="L29" s="81"/>
      <c r="M29" s="17"/>
      <c r="N29" s="82">
        <f t="shared" si="9"/>
        <v>549048</v>
      </c>
      <c r="O29" s="17"/>
      <c r="P29" s="87">
        <f t="shared" si="8"/>
        <v>401287</v>
      </c>
      <c r="Q29" s="87">
        <f t="shared" si="10"/>
        <v>950335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79156698</v>
      </c>
      <c r="J30" s="10"/>
      <c r="K30" s="17"/>
      <c r="L30" s="81"/>
      <c r="M30" s="17"/>
      <c r="N30" s="82">
        <f t="shared" si="9"/>
        <v>551793</v>
      </c>
      <c r="O30" s="17"/>
      <c r="P30" s="87">
        <f t="shared" si="8"/>
        <v>398542</v>
      </c>
      <c r="Q30" s="87">
        <f t="shared" si="10"/>
        <v>950335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78602146</v>
      </c>
      <c r="J31" s="10"/>
      <c r="K31" s="17"/>
      <c r="L31" s="81"/>
      <c r="M31" s="17"/>
      <c r="N31" s="82">
        <f t="shared" si="9"/>
        <v>554552</v>
      </c>
      <c r="O31" s="17"/>
      <c r="P31" s="87">
        <f t="shared" si="8"/>
        <v>395783</v>
      </c>
      <c r="Q31" s="87">
        <f t="shared" si="10"/>
        <v>950335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78044821</v>
      </c>
      <c r="J32" s="10"/>
      <c r="K32" s="17"/>
      <c r="L32" s="81"/>
      <c r="M32" s="17"/>
      <c r="N32" s="82">
        <f t="shared" si="9"/>
        <v>557325</v>
      </c>
      <c r="O32" s="17"/>
      <c r="P32" s="87">
        <f t="shared" si="8"/>
        <v>393010</v>
      </c>
      <c r="Q32" s="87">
        <f t="shared" si="10"/>
        <v>950335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77484710</v>
      </c>
      <c r="J33" s="10"/>
      <c r="K33" s="17"/>
      <c r="L33" s="81"/>
      <c r="M33" s="17"/>
      <c r="N33" s="82">
        <f t="shared" si="9"/>
        <v>560111</v>
      </c>
      <c r="O33" s="17"/>
      <c r="P33" s="87">
        <f t="shared" si="8"/>
        <v>390224</v>
      </c>
      <c r="Q33" s="87">
        <f t="shared" si="10"/>
        <v>950335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76921798</v>
      </c>
      <c r="J34" s="10"/>
      <c r="K34" s="17"/>
      <c r="L34" s="81"/>
      <c r="M34" s="17"/>
      <c r="N34" s="82">
        <f t="shared" si="9"/>
        <v>562912</v>
      </c>
      <c r="O34" s="17"/>
      <c r="P34" s="87">
        <f t="shared" si="8"/>
        <v>387423</v>
      </c>
      <c r="Q34" s="87">
        <f t="shared" si="10"/>
        <v>950335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76356071</v>
      </c>
      <c r="J35" s="10"/>
      <c r="K35" s="17"/>
      <c r="L35" s="81"/>
      <c r="M35" s="17"/>
      <c r="N35" s="82">
        <f t="shared" si="9"/>
        <v>565727</v>
      </c>
      <c r="O35" s="17"/>
      <c r="P35" s="87">
        <f t="shared" si="8"/>
        <v>384608</v>
      </c>
      <c r="Q35" s="87">
        <f t="shared" si="10"/>
        <v>950335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75787516</v>
      </c>
      <c r="J36" s="10"/>
      <c r="K36" s="17"/>
      <c r="L36" s="81"/>
      <c r="M36" s="17"/>
      <c r="N36" s="82">
        <f t="shared" si="9"/>
        <v>568555</v>
      </c>
      <c r="O36" s="17"/>
      <c r="P36" s="87">
        <f t="shared" si="8"/>
        <v>381780</v>
      </c>
      <c r="Q36" s="87">
        <f t="shared" si="10"/>
        <v>950335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75216118</v>
      </c>
      <c r="J37" s="10"/>
      <c r="K37" s="17"/>
      <c r="L37" s="81"/>
      <c r="M37" s="17"/>
      <c r="N37" s="82">
        <f t="shared" si="9"/>
        <v>571398</v>
      </c>
      <c r="O37" s="17"/>
      <c r="P37" s="87">
        <f t="shared" si="8"/>
        <v>378937</v>
      </c>
      <c r="Q37" s="87">
        <f t="shared" si="10"/>
        <v>950335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74641863</v>
      </c>
      <c r="J38" s="10"/>
      <c r="K38" s="17"/>
      <c r="L38" s="81"/>
      <c r="M38" s="17"/>
      <c r="N38" s="82">
        <f t="shared" si="9"/>
        <v>574255</v>
      </c>
      <c r="O38" s="17"/>
      <c r="P38" s="87">
        <f t="shared" si="8"/>
        <v>376080</v>
      </c>
      <c r="Q38" s="87">
        <f t="shared" si="10"/>
        <v>950335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74064737</v>
      </c>
      <c r="J39" s="10"/>
      <c r="K39" s="17"/>
      <c r="L39" s="81"/>
      <c r="M39" s="17"/>
      <c r="N39" s="82">
        <f t="shared" si="9"/>
        <v>577126</v>
      </c>
      <c r="O39" s="17"/>
      <c r="P39" s="87">
        <f t="shared" si="8"/>
        <v>373209</v>
      </c>
      <c r="Q39" s="87">
        <f t="shared" si="10"/>
        <v>950335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73484725</v>
      </c>
      <c r="J40" s="10"/>
      <c r="K40" s="17"/>
      <c r="L40" s="81"/>
      <c r="M40" s="17"/>
      <c r="N40" s="82">
        <f t="shared" si="9"/>
        <v>580012</v>
      </c>
      <c r="O40" s="17"/>
      <c r="P40" s="87">
        <f t="shared" si="8"/>
        <v>370323</v>
      </c>
      <c r="Q40" s="87">
        <f t="shared" si="10"/>
        <v>950335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72901813</v>
      </c>
      <c r="J41" s="10"/>
      <c r="K41" s="17"/>
      <c r="L41" s="81"/>
      <c r="M41" s="17"/>
      <c r="N41" s="82">
        <f t="shared" si="9"/>
        <v>582912</v>
      </c>
      <c r="O41" s="17"/>
      <c r="P41" s="87">
        <f t="shared" si="8"/>
        <v>367423</v>
      </c>
      <c r="Q41" s="87">
        <f t="shared" si="10"/>
        <v>950335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72315987</v>
      </c>
      <c r="J42" s="10"/>
      <c r="K42" s="17"/>
      <c r="L42" s="81"/>
      <c r="M42" s="17"/>
      <c r="N42" s="82">
        <f t="shared" si="9"/>
        <v>585826</v>
      </c>
      <c r="O42" s="17"/>
      <c r="P42" s="87">
        <f t="shared" si="8"/>
        <v>364509</v>
      </c>
      <c r="Q42" s="87">
        <f t="shared" si="10"/>
        <v>950335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71727231</v>
      </c>
      <c r="J43" s="10"/>
      <c r="K43" s="17"/>
      <c r="L43" s="81"/>
      <c r="M43" s="17"/>
      <c r="N43" s="82">
        <f t="shared" si="9"/>
        <v>588756</v>
      </c>
      <c r="O43" s="17"/>
      <c r="P43" s="87">
        <f t="shared" si="8"/>
        <v>361579</v>
      </c>
      <c r="Q43" s="87">
        <f t="shared" si="10"/>
        <v>950335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71135532</v>
      </c>
      <c r="J44" s="10"/>
      <c r="K44" s="17"/>
      <c r="L44" s="81"/>
      <c r="M44" s="17"/>
      <c r="N44" s="82">
        <f t="shared" si="9"/>
        <v>591699</v>
      </c>
      <c r="O44" s="17"/>
      <c r="P44" s="87">
        <f t="shared" si="8"/>
        <v>358636</v>
      </c>
      <c r="Q44" s="87">
        <f t="shared" si="10"/>
        <v>950335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70540874</v>
      </c>
      <c r="J45" s="10"/>
      <c r="K45" s="17"/>
      <c r="L45" s="81"/>
      <c r="M45" s="17"/>
      <c r="N45" s="82">
        <f t="shared" si="9"/>
        <v>594658</v>
      </c>
      <c r="O45" s="17"/>
      <c r="P45" s="87">
        <f t="shared" si="8"/>
        <v>355677</v>
      </c>
      <c r="Q45" s="87">
        <f t="shared" si="10"/>
        <v>950335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69943243</v>
      </c>
      <c r="J46" s="10"/>
      <c r="K46" s="17"/>
      <c r="L46" s="81"/>
      <c r="M46" s="17"/>
      <c r="N46" s="82">
        <f t="shared" si="9"/>
        <v>597631</v>
      </c>
      <c r="O46" s="17"/>
      <c r="P46" s="87">
        <f t="shared" si="8"/>
        <v>352704</v>
      </c>
      <c r="Q46" s="87">
        <f t="shared" si="10"/>
        <v>950335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69342624</v>
      </c>
      <c r="J47" s="10"/>
      <c r="K47" s="17"/>
      <c r="L47" s="81"/>
      <c r="M47" s="17"/>
      <c r="N47" s="82">
        <f t="shared" si="9"/>
        <v>600619</v>
      </c>
      <c r="O47" s="17"/>
      <c r="P47" s="87">
        <f t="shared" si="8"/>
        <v>349716</v>
      </c>
      <c r="Q47" s="87">
        <f t="shared" si="10"/>
        <v>950335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68739002</v>
      </c>
      <c r="J48" s="10"/>
      <c r="K48" s="17"/>
      <c r="L48" s="81"/>
      <c r="M48" s="17"/>
      <c r="N48" s="82">
        <f t="shared" si="9"/>
        <v>603622</v>
      </c>
      <c r="O48" s="17"/>
      <c r="P48" s="87">
        <f t="shared" si="8"/>
        <v>346713</v>
      </c>
      <c r="Q48" s="87">
        <f t="shared" si="10"/>
        <v>950335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68132362</v>
      </c>
      <c r="J49" s="10"/>
      <c r="K49" s="17"/>
      <c r="L49" s="81"/>
      <c r="M49" s="17"/>
      <c r="N49" s="82">
        <f t="shared" si="9"/>
        <v>606640</v>
      </c>
      <c r="O49" s="17"/>
      <c r="P49" s="87">
        <f t="shared" si="8"/>
        <v>343695</v>
      </c>
      <c r="Q49" s="87">
        <f t="shared" si="10"/>
        <v>950335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67522688</v>
      </c>
      <c r="J50" s="10"/>
      <c r="K50" s="17"/>
      <c r="L50" s="81"/>
      <c r="M50" s="17"/>
      <c r="N50" s="82">
        <f t="shared" si="9"/>
        <v>609674</v>
      </c>
      <c r="O50" s="17"/>
      <c r="P50" s="87">
        <f t="shared" si="8"/>
        <v>340661</v>
      </c>
      <c r="Q50" s="87">
        <f t="shared" si="10"/>
        <v>950335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66909966</v>
      </c>
      <c r="J51" s="10"/>
      <c r="K51" s="17"/>
      <c r="L51" s="81"/>
      <c r="M51" s="17"/>
      <c r="N51" s="82">
        <f t="shared" si="9"/>
        <v>612722</v>
      </c>
      <c r="O51" s="17"/>
      <c r="P51" s="87">
        <f t="shared" si="8"/>
        <v>337613</v>
      </c>
      <c r="Q51" s="87">
        <f t="shared" si="10"/>
        <v>950335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66294180</v>
      </c>
      <c r="J52" s="10"/>
      <c r="K52" s="17"/>
      <c r="L52" s="81"/>
      <c r="M52" s="17"/>
      <c r="N52" s="82">
        <f t="shared" si="9"/>
        <v>615786</v>
      </c>
      <c r="O52" s="17"/>
      <c r="P52" s="87">
        <f t="shared" si="8"/>
        <v>334549</v>
      </c>
      <c r="Q52" s="87">
        <f t="shared" si="10"/>
        <v>950335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65675315</v>
      </c>
      <c r="J53" s="10"/>
      <c r="K53" s="17"/>
      <c r="L53" s="81"/>
      <c r="M53" s="17"/>
      <c r="N53" s="82">
        <f t="shared" si="9"/>
        <v>618865</v>
      </c>
      <c r="O53" s="17"/>
      <c r="P53" s="87">
        <f t="shared" si="8"/>
        <v>331470</v>
      </c>
      <c r="Q53" s="87">
        <f t="shared" si="10"/>
        <v>950335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65053356</v>
      </c>
      <c r="J54" s="10"/>
      <c r="K54" s="17"/>
      <c r="L54" s="81"/>
      <c r="M54" s="17"/>
      <c r="N54" s="82">
        <f t="shared" si="9"/>
        <v>621959</v>
      </c>
      <c r="O54" s="17"/>
      <c r="P54" s="87">
        <f t="shared" si="8"/>
        <v>328376</v>
      </c>
      <c r="Q54" s="87">
        <f t="shared" si="10"/>
        <v>950335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64428287</v>
      </c>
      <c r="J55" s="10"/>
      <c r="K55" s="17"/>
      <c r="L55" s="81"/>
      <c r="M55" s="17"/>
      <c r="N55" s="82">
        <f t="shared" si="9"/>
        <v>625069</v>
      </c>
      <c r="O55" s="17"/>
      <c r="P55" s="87">
        <f t="shared" si="8"/>
        <v>325266</v>
      </c>
      <c r="Q55" s="87">
        <f t="shared" si="10"/>
        <v>950335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63800093</v>
      </c>
      <c r="J56" s="10"/>
      <c r="K56" s="17"/>
      <c r="L56" s="81"/>
      <c r="M56" s="17"/>
      <c r="N56" s="82">
        <f t="shared" si="9"/>
        <v>628194</v>
      </c>
      <c r="O56" s="17"/>
      <c r="P56" s="87">
        <f t="shared" si="8"/>
        <v>322141</v>
      </c>
      <c r="Q56" s="87">
        <f t="shared" si="10"/>
        <v>950335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63168758</v>
      </c>
      <c r="J57" s="10"/>
      <c r="K57" s="17"/>
      <c r="L57" s="81"/>
      <c r="M57" s="17"/>
      <c r="N57" s="82">
        <f t="shared" si="9"/>
        <v>631335</v>
      </c>
      <c r="O57" s="17"/>
      <c r="P57" s="87">
        <f t="shared" si="8"/>
        <v>319000</v>
      </c>
      <c r="Q57" s="87">
        <f t="shared" si="10"/>
        <v>950335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62534266</v>
      </c>
      <c r="J58" s="10"/>
      <c r="K58" s="17"/>
      <c r="L58" s="81"/>
      <c r="M58" s="17"/>
      <c r="N58" s="82">
        <f t="shared" si="9"/>
        <v>634492</v>
      </c>
      <c r="O58" s="17"/>
      <c r="P58" s="87">
        <f t="shared" si="8"/>
        <v>315843</v>
      </c>
      <c r="Q58" s="87">
        <f t="shared" si="10"/>
        <v>950335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61896602</v>
      </c>
      <c r="J59" s="10"/>
      <c r="K59" s="17"/>
      <c r="L59" s="81"/>
      <c r="M59" s="17"/>
      <c r="N59" s="82">
        <f t="shared" si="9"/>
        <v>637664</v>
      </c>
      <c r="O59" s="17"/>
      <c r="P59" s="87">
        <f t="shared" si="8"/>
        <v>312671</v>
      </c>
      <c r="Q59" s="87">
        <f t="shared" si="10"/>
        <v>950335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61255750</v>
      </c>
      <c r="J60" s="10"/>
      <c r="K60" s="17"/>
      <c r="L60" s="81"/>
      <c r="M60" s="17"/>
      <c r="N60" s="82">
        <f t="shared" si="9"/>
        <v>640852</v>
      </c>
      <c r="O60" s="17"/>
      <c r="P60" s="87">
        <f t="shared" si="8"/>
        <v>309483</v>
      </c>
      <c r="Q60" s="87">
        <f t="shared" si="10"/>
        <v>950335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60611693</v>
      </c>
      <c r="J61" s="10"/>
      <c r="K61" s="17"/>
      <c r="L61" s="81"/>
      <c r="M61" s="17"/>
      <c r="N61" s="82">
        <f t="shared" si="9"/>
        <v>644057</v>
      </c>
      <c r="O61" s="17"/>
      <c r="P61" s="87">
        <f t="shared" si="8"/>
        <v>306278</v>
      </c>
      <c r="Q61" s="87">
        <f t="shared" si="10"/>
        <v>950335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59964416</v>
      </c>
      <c r="J62" s="10"/>
      <c r="K62" s="17"/>
      <c r="L62" s="81"/>
      <c r="M62" s="17"/>
      <c r="N62" s="82">
        <f t="shared" si="9"/>
        <v>647277</v>
      </c>
      <c r="O62" s="17"/>
      <c r="P62" s="87">
        <f t="shared" si="8"/>
        <v>303058</v>
      </c>
      <c r="Q62" s="87">
        <f t="shared" si="10"/>
        <v>950335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59313903</v>
      </c>
      <c r="J63" s="10"/>
      <c r="K63" s="17"/>
      <c r="L63" s="81"/>
      <c r="M63" s="17"/>
      <c r="N63" s="82">
        <f t="shared" si="9"/>
        <v>650513</v>
      </c>
      <c r="O63" s="17"/>
      <c r="P63" s="87">
        <f t="shared" si="8"/>
        <v>299822</v>
      </c>
      <c r="Q63" s="87">
        <f t="shared" si="10"/>
        <v>950335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58660137</v>
      </c>
      <c r="J64" s="10"/>
      <c r="K64" s="17"/>
      <c r="L64" s="81"/>
      <c r="M64" s="17"/>
      <c r="N64" s="82">
        <f t="shared" si="9"/>
        <v>653766</v>
      </c>
      <c r="O64" s="17"/>
      <c r="P64" s="87">
        <f t="shared" si="8"/>
        <v>296569</v>
      </c>
      <c r="Q64" s="87">
        <f t="shared" si="10"/>
        <v>950335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58003102</v>
      </c>
      <c r="J65" s="10"/>
      <c r="K65" s="17"/>
      <c r="L65" s="81"/>
      <c r="M65" s="17"/>
      <c r="N65" s="82">
        <f t="shared" si="9"/>
        <v>657035</v>
      </c>
      <c r="O65" s="17"/>
      <c r="P65" s="87">
        <f t="shared" si="8"/>
        <v>293300</v>
      </c>
      <c r="Q65" s="87">
        <f t="shared" si="10"/>
        <v>950335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57342782</v>
      </c>
      <c r="J66" s="10"/>
      <c r="K66" s="17"/>
      <c r="L66" s="81"/>
      <c r="M66" s="17"/>
      <c r="N66" s="82">
        <f t="shared" si="9"/>
        <v>660320</v>
      </c>
      <c r="O66" s="17"/>
      <c r="P66" s="87">
        <f t="shared" si="8"/>
        <v>290015</v>
      </c>
      <c r="Q66" s="87">
        <f t="shared" si="10"/>
        <v>950335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56679160</v>
      </c>
      <c r="J67" s="10"/>
      <c r="K67" s="17"/>
      <c r="L67" s="81"/>
      <c r="M67" s="17"/>
      <c r="N67" s="82">
        <f t="shared" si="9"/>
        <v>663622</v>
      </c>
      <c r="O67" s="17"/>
      <c r="P67" s="87">
        <f t="shared" si="8"/>
        <v>286713</v>
      </c>
      <c r="Q67" s="87">
        <f t="shared" si="10"/>
        <v>950335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56012220</v>
      </c>
      <c r="J68" s="10"/>
      <c r="K68" s="17"/>
      <c r="L68" s="81"/>
      <c r="M68" s="17"/>
      <c r="N68" s="82">
        <f t="shared" si="9"/>
        <v>666940</v>
      </c>
      <c r="O68" s="17"/>
      <c r="P68" s="87">
        <f t="shared" si="8"/>
        <v>283395</v>
      </c>
      <c r="Q68" s="87">
        <f t="shared" si="10"/>
        <v>950335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55341946</v>
      </c>
      <c r="J69" s="10"/>
      <c r="K69" s="17"/>
      <c r="L69" s="81"/>
      <c r="M69" s="17"/>
      <c r="N69" s="82">
        <f t="shared" si="9"/>
        <v>670274</v>
      </c>
      <c r="O69" s="17"/>
      <c r="P69" s="87">
        <f t="shared" si="8"/>
        <v>280061</v>
      </c>
      <c r="Q69" s="87">
        <f t="shared" si="10"/>
        <v>950335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54668320</v>
      </c>
      <c r="J70" s="10"/>
      <c r="K70" s="17"/>
      <c r="L70" s="90"/>
      <c r="M70" s="91"/>
      <c r="N70" s="82">
        <f t="shared" si="9"/>
        <v>673626</v>
      </c>
      <c r="O70" s="17"/>
      <c r="P70" s="87">
        <f t="shared" si="8"/>
        <v>276709</v>
      </c>
      <c r="Q70" s="87">
        <f t="shared" si="10"/>
        <v>950335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53991326</v>
      </c>
      <c r="J71" s="10"/>
      <c r="K71" s="17"/>
      <c r="L71" s="90"/>
      <c r="M71" s="91"/>
      <c r="N71" s="82">
        <f t="shared" si="9"/>
        <v>676994</v>
      </c>
      <c r="O71" s="17"/>
      <c r="P71" s="87">
        <f t="shared" si="8"/>
        <v>273341</v>
      </c>
      <c r="Q71" s="87">
        <f t="shared" si="10"/>
        <v>950335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53310947</v>
      </c>
      <c r="J72" s="10"/>
      <c r="K72" s="17"/>
      <c r="L72" s="90"/>
      <c r="M72" s="91"/>
      <c r="N72" s="82">
        <f t="shared" si="9"/>
        <v>680379</v>
      </c>
      <c r="O72" s="17"/>
      <c r="P72" s="87">
        <f t="shared" si="8"/>
        <v>269956</v>
      </c>
      <c r="Q72" s="87">
        <f t="shared" si="10"/>
        <v>950335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52627166</v>
      </c>
      <c r="J73" s="10"/>
      <c r="K73" s="17"/>
      <c r="L73" s="90"/>
      <c r="M73" s="91"/>
      <c r="N73" s="82">
        <f t="shared" si="9"/>
        <v>683781</v>
      </c>
      <c r="O73" s="17"/>
      <c r="P73" s="87">
        <f t="shared" si="8"/>
        <v>266554</v>
      </c>
      <c r="Q73" s="87">
        <f t="shared" si="10"/>
        <v>950335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51939966</v>
      </c>
      <c r="J74" s="10"/>
      <c r="K74" s="17"/>
      <c r="L74" s="90"/>
      <c r="M74" s="91"/>
      <c r="N74" s="82">
        <f t="shared" si="9"/>
        <v>687200</v>
      </c>
      <c r="O74" s="17"/>
      <c r="P74" s="87">
        <f t="shared" si="8"/>
        <v>263135</v>
      </c>
      <c r="Q74" s="87">
        <f t="shared" si="10"/>
        <v>950335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51249330</v>
      </c>
      <c r="J75" s="10"/>
      <c r="K75" s="17"/>
      <c r="L75" s="90"/>
      <c r="M75" s="91"/>
      <c r="N75" s="82">
        <f t="shared" si="9"/>
        <v>690636</v>
      </c>
      <c r="O75" s="17"/>
      <c r="P75" s="87">
        <f t="shared" si="8"/>
        <v>259699</v>
      </c>
      <c r="Q75" s="87">
        <f t="shared" si="10"/>
        <v>950335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50555241</v>
      </c>
      <c r="J76" s="10"/>
      <c r="K76" s="17"/>
      <c r="L76" s="90"/>
      <c r="M76" s="91"/>
      <c r="N76" s="82">
        <f t="shared" si="9"/>
        <v>694089</v>
      </c>
      <c r="O76" s="17"/>
      <c r="P76" s="87">
        <f t="shared" si="8"/>
        <v>256246</v>
      </c>
      <c r="Q76" s="87">
        <f t="shared" si="10"/>
        <v>950335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49857682</v>
      </c>
      <c r="J77" s="10"/>
      <c r="K77" s="17"/>
      <c r="L77" s="90"/>
      <c r="M77" s="91"/>
      <c r="N77" s="82">
        <f t="shared" si="9"/>
        <v>697559</v>
      </c>
      <c r="O77" s="17"/>
      <c r="P77" s="87">
        <f t="shared" si="8"/>
        <v>252776</v>
      </c>
      <c r="Q77" s="87">
        <f t="shared" si="10"/>
        <v>950335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49156635</v>
      </c>
      <c r="J78" s="10"/>
      <c r="K78" s="17"/>
      <c r="L78" s="81"/>
      <c r="M78" s="17"/>
      <c r="N78" s="82">
        <f t="shared" si="9"/>
        <v>701047</v>
      </c>
      <c r="O78" s="17"/>
      <c r="P78" s="87">
        <f t="shared" si="8"/>
        <v>249288</v>
      </c>
      <c r="Q78" s="87">
        <f t="shared" si="10"/>
        <v>950335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48452083</v>
      </c>
      <c r="J79" s="10"/>
      <c r="K79" s="17"/>
      <c r="L79" s="81"/>
      <c r="M79" s="17"/>
      <c r="N79" s="82">
        <f t="shared" si="9"/>
        <v>704552</v>
      </c>
      <c r="O79" s="17"/>
      <c r="P79" s="87">
        <f t="shared" si="8"/>
        <v>245783</v>
      </c>
      <c r="Q79" s="87">
        <f t="shared" si="10"/>
        <v>950335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47744008</v>
      </c>
      <c r="J80" s="10"/>
      <c r="K80" s="17"/>
      <c r="L80" s="81"/>
      <c r="M80" s="17"/>
      <c r="N80" s="82">
        <f t="shared" si="9"/>
        <v>708075</v>
      </c>
      <c r="O80" s="17"/>
      <c r="P80" s="87">
        <f t="shared" si="8"/>
        <v>242260</v>
      </c>
      <c r="Q80" s="87">
        <f t="shared" si="10"/>
        <v>950335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47032393</v>
      </c>
      <c r="J81" s="10"/>
      <c r="K81" s="17"/>
      <c r="L81" s="81"/>
      <c r="M81" s="17"/>
      <c r="N81" s="82">
        <f t="shared" si="9"/>
        <v>711615</v>
      </c>
      <c r="O81" s="17"/>
      <c r="P81" s="87">
        <f t="shared" si="8"/>
        <v>238720</v>
      </c>
      <c r="Q81" s="87">
        <f t="shared" si="10"/>
        <v>950335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46317219</v>
      </c>
      <c r="J82" s="10"/>
      <c r="K82" s="17"/>
      <c r="L82" s="81"/>
      <c r="M82" s="17"/>
      <c r="N82" s="82">
        <f t="shared" si="9"/>
        <v>715174</v>
      </c>
      <c r="O82" s="17"/>
      <c r="P82" s="87">
        <f t="shared" si="8"/>
        <v>235161</v>
      </c>
      <c r="Q82" s="87">
        <f t="shared" si="10"/>
        <v>950335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45598470</v>
      </c>
      <c r="J83" s="10"/>
      <c r="K83" s="17"/>
      <c r="L83" s="81"/>
      <c r="M83" s="17"/>
      <c r="N83" s="82">
        <f t="shared" si="9"/>
        <v>718749</v>
      </c>
      <c r="O83" s="17"/>
      <c r="P83" s="87">
        <f t="shared" si="8"/>
        <v>231586</v>
      </c>
      <c r="Q83" s="87">
        <f t="shared" si="10"/>
        <v>950335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44876127</v>
      </c>
      <c r="J84" s="10"/>
      <c r="K84" s="17"/>
      <c r="L84" s="81"/>
      <c r="M84" s="17"/>
      <c r="N84" s="82">
        <f t="shared" si="9"/>
        <v>722343</v>
      </c>
      <c r="O84" s="17"/>
      <c r="P84" s="87">
        <f t="shared" si="8"/>
        <v>227992</v>
      </c>
      <c r="Q84" s="87">
        <f t="shared" si="10"/>
        <v>950335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44150172</v>
      </c>
      <c r="J85" s="10"/>
      <c r="K85" s="17"/>
      <c r="L85" s="81"/>
      <c r="M85" s="17"/>
      <c r="N85" s="82">
        <f t="shared" si="9"/>
        <v>725955</v>
      </c>
      <c r="O85" s="17"/>
      <c r="P85" s="87">
        <f t="shared" si="8"/>
        <v>224380</v>
      </c>
      <c r="Q85" s="87">
        <f t="shared" si="10"/>
        <v>950335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43420587</v>
      </c>
      <c r="J86" s="10"/>
      <c r="K86" s="17"/>
      <c r="L86" s="81"/>
      <c r="M86" s="17"/>
      <c r="N86" s="82">
        <f t="shared" si="9"/>
        <v>729585</v>
      </c>
      <c r="O86" s="17"/>
      <c r="P86" s="87">
        <f t="shared" si="8"/>
        <v>220750</v>
      </c>
      <c r="Q86" s="87">
        <f t="shared" si="10"/>
        <v>950335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42687354</v>
      </c>
      <c r="J87" s="10"/>
      <c r="K87" s="17"/>
      <c r="L87" s="81"/>
      <c r="M87" s="17"/>
      <c r="N87" s="82">
        <f t="shared" si="9"/>
        <v>733233</v>
      </c>
      <c r="O87" s="17"/>
      <c r="P87" s="87">
        <f t="shared" si="8"/>
        <v>217102</v>
      </c>
      <c r="Q87" s="87">
        <f t="shared" si="10"/>
        <v>950335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41950455</v>
      </c>
      <c r="J88" s="10"/>
      <c r="K88" s="17"/>
      <c r="L88" s="81"/>
      <c r="M88" s="17"/>
      <c r="N88" s="82">
        <f t="shared" si="9"/>
        <v>736899</v>
      </c>
      <c r="O88" s="17"/>
      <c r="P88" s="87">
        <f t="shared" si="8"/>
        <v>213436</v>
      </c>
      <c r="Q88" s="87">
        <f t="shared" si="10"/>
        <v>950335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41209872</v>
      </c>
      <c r="J89" s="10"/>
      <c r="K89" s="17"/>
      <c r="L89" s="81"/>
      <c r="M89" s="17"/>
      <c r="N89" s="82">
        <f t="shared" si="9"/>
        <v>740583</v>
      </c>
      <c r="O89" s="17"/>
      <c r="P89" s="87">
        <f t="shared" si="8"/>
        <v>209752</v>
      </c>
      <c r="Q89" s="87">
        <f t="shared" si="10"/>
        <v>950335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40465586</v>
      </c>
      <c r="J90" s="10"/>
      <c r="K90" s="17"/>
      <c r="L90" s="81"/>
      <c r="M90" s="17"/>
      <c r="N90" s="82">
        <f t="shared" si="9"/>
        <v>744286</v>
      </c>
      <c r="O90" s="17"/>
      <c r="P90" s="87">
        <f t="shared" si="8"/>
        <v>206049</v>
      </c>
      <c r="Q90" s="87">
        <f t="shared" si="10"/>
        <v>950335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39717578</v>
      </c>
      <c r="J91" s="10"/>
      <c r="K91" s="17"/>
      <c r="L91" s="81"/>
      <c r="M91" s="17"/>
      <c r="N91" s="82">
        <f t="shared" si="9"/>
        <v>748008</v>
      </c>
      <c r="O91" s="17"/>
      <c r="P91" s="87">
        <f t="shared" si="8"/>
        <v>202327</v>
      </c>
      <c r="Q91" s="87">
        <f t="shared" si="10"/>
        <v>950335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38965830</v>
      </c>
      <c r="J92" s="10"/>
      <c r="K92" s="17"/>
      <c r="L92" s="81"/>
      <c r="M92" s="17"/>
      <c r="N92" s="82">
        <f t="shared" si="9"/>
        <v>751748</v>
      </c>
      <c r="O92" s="17"/>
      <c r="P92" s="87">
        <f t="shared" si="8"/>
        <v>198587</v>
      </c>
      <c r="Q92" s="87">
        <f t="shared" si="10"/>
        <v>950335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38210324</v>
      </c>
      <c r="J93" s="10"/>
      <c r="K93" s="17"/>
      <c r="L93" s="81"/>
      <c r="M93" s="17"/>
      <c r="N93" s="82">
        <f t="shared" si="9"/>
        <v>755506</v>
      </c>
      <c r="O93" s="17"/>
      <c r="P93" s="87">
        <f t="shared" si="8"/>
        <v>194829</v>
      </c>
      <c r="Q93" s="87">
        <f t="shared" si="10"/>
        <v>950335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37451040</v>
      </c>
      <c r="J94" s="10"/>
      <c r="K94" s="17"/>
      <c r="L94" s="81"/>
      <c r="M94" s="17"/>
      <c r="N94" s="82">
        <f t="shared" si="9"/>
        <v>759284</v>
      </c>
      <c r="O94" s="17"/>
      <c r="P94" s="87">
        <f t="shared" si="8"/>
        <v>191051</v>
      </c>
      <c r="Q94" s="87">
        <f t="shared" si="10"/>
        <v>950335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36687960</v>
      </c>
      <c r="J95" s="10"/>
      <c r="K95" s="17"/>
      <c r="L95" s="81"/>
      <c r="M95" s="17"/>
      <c r="N95" s="82">
        <f t="shared" si="9"/>
        <v>763080</v>
      </c>
      <c r="O95" s="17"/>
      <c r="P95" s="87">
        <f t="shared" si="8"/>
        <v>187255</v>
      </c>
      <c r="Q95" s="87">
        <f t="shared" si="10"/>
        <v>950335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35921064</v>
      </c>
      <c r="J96" s="10"/>
      <c r="K96" s="17"/>
      <c r="L96" s="81"/>
      <c r="M96" s="17"/>
      <c r="N96" s="82">
        <f t="shared" si="9"/>
        <v>766896</v>
      </c>
      <c r="O96" s="17"/>
      <c r="P96" s="87">
        <f t="shared" si="8"/>
        <v>183439</v>
      </c>
      <c r="Q96" s="87">
        <f t="shared" si="10"/>
        <v>950335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35150334</v>
      </c>
      <c r="J97" s="10"/>
      <c r="K97" s="17"/>
      <c r="L97" s="81"/>
      <c r="M97" s="17"/>
      <c r="N97" s="82">
        <f t="shared" si="9"/>
        <v>770730</v>
      </c>
      <c r="O97" s="17"/>
      <c r="P97" s="87">
        <f t="shared" si="8"/>
        <v>179605</v>
      </c>
      <c r="Q97" s="87">
        <f t="shared" si="10"/>
        <v>950335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34375750</v>
      </c>
      <c r="J98" s="10"/>
      <c r="K98" s="17"/>
      <c r="L98" s="81"/>
      <c r="M98" s="17"/>
      <c r="N98" s="82">
        <f t="shared" si="9"/>
        <v>774584</v>
      </c>
      <c r="O98" s="17"/>
      <c r="P98" s="87">
        <f t="shared" si="8"/>
        <v>175751</v>
      </c>
      <c r="Q98" s="87">
        <f t="shared" si="10"/>
        <v>950335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33597293</v>
      </c>
      <c r="J99" s="10"/>
      <c r="K99" s="17"/>
      <c r="L99" s="81"/>
      <c r="M99" s="17"/>
      <c r="N99" s="82">
        <f t="shared" si="9"/>
        <v>778457</v>
      </c>
      <c r="O99" s="17"/>
      <c r="P99" s="87">
        <f t="shared" si="8"/>
        <v>171878</v>
      </c>
      <c r="Q99" s="87">
        <f t="shared" si="10"/>
        <v>950335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32814944</v>
      </c>
      <c r="J100" s="10"/>
      <c r="K100" s="17"/>
      <c r="L100" s="81"/>
      <c r="M100" s="17"/>
      <c r="N100" s="82">
        <f t="shared" si="9"/>
        <v>782349</v>
      </c>
      <c r="O100" s="17"/>
      <c r="P100" s="87">
        <f t="shared" si="8"/>
        <v>167986</v>
      </c>
      <c r="Q100" s="87">
        <f t="shared" si="10"/>
        <v>950335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32028683</v>
      </c>
      <c r="J101" s="10"/>
      <c r="K101" s="17"/>
      <c r="L101" s="81"/>
      <c r="M101" s="17"/>
      <c r="N101" s="82">
        <f t="shared" si="9"/>
        <v>786261</v>
      </c>
      <c r="O101" s="17"/>
      <c r="P101" s="87">
        <f t="shared" si="8"/>
        <v>164074</v>
      </c>
      <c r="Q101" s="87">
        <f t="shared" si="10"/>
        <v>950335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31238491</v>
      </c>
      <c r="J102" s="10"/>
      <c r="K102" s="17"/>
      <c r="L102" s="81"/>
      <c r="M102" s="17"/>
      <c r="N102" s="82">
        <f t="shared" si="9"/>
        <v>790192</v>
      </c>
      <c r="O102" s="17"/>
      <c r="P102" s="87">
        <f t="shared" si="8"/>
        <v>160143</v>
      </c>
      <c r="Q102" s="87">
        <f t="shared" si="10"/>
        <v>950335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30444348</v>
      </c>
      <c r="J103" s="10"/>
      <c r="K103" s="17"/>
      <c r="L103" s="81"/>
      <c r="M103" s="17"/>
      <c r="N103" s="82">
        <f t="shared" si="9"/>
        <v>794143</v>
      </c>
      <c r="O103" s="17"/>
      <c r="P103" s="87">
        <f t="shared" si="8"/>
        <v>156192</v>
      </c>
      <c r="Q103" s="87">
        <f t="shared" si="10"/>
        <v>950335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29646234</v>
      </c>
      <c r="J104" s="10"/>
      <c r="K104" s="17"/>
      <c r="L104" s="81"/>
      <c r="M104" s="17"/>
      <c r="N104" s="82">
        <f t="shared" si="9"/>
        <v>798114</v>
      </c>
      <c r="O104" s="17"/>
      <c r="P104" s="87">
        <f t="shared" si="8"/>
        <v>152221</v>
      </c>
      <c r="Q104" s="87">
        <f t="shared" si="10"/>
        <v>950335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28844130</v>
      </c>
      <c r="J105" s="10"/>
      <c r="K105" s="17"/>
      <c r="L105" s="81"/>
      <c r="M105" s="17"/>
      <c r="N105" s="82">
        <f t="shared" si="9"/>
        <v>802104</v>
      </c>
      <c r="O105" s="17"/>
      <c r="P105" s="87">
        <f t="shared" si="8"/>
        <v>148231</v>
      </c>
      <c r="Q105" s="87">
        <f t="shared" si="10"/>
        <v>950335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28038015</v>
      </c>
      <c r="J106" s="10"/>
      <c r="K106" s="17"/>
      <c r="L106" s="81"/>
      <c r="M106" s="17"/>
      <c r="N106" s="82">
        <f t="shared" si="9"/>
        <v>806115</v>
      </c>
      <c r="O106" s="17"/>
      <c r="P106" s="87">
        <f t="shared" si="8"/>
        <v>144220</v>
      </c>
      <c r="Q106" s="87">
        <f t="shared" si="10"/>
        <v>950335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27227870</v>
      </c>
      <c r="J107" s="10"/>
      <c r="K107" s="17"/>
      <c r="L107" s="81"/>
      <c r="M107" s="17"/>
      <c r="N107" s="82">
        <f t="shared" si="9"/>
        <v>810145</v>
      </c>
      <c r="O107" s="17"/>
      <c r="P107" s="87">
        <f t="shared" si="8"/>
        <v>140190</v>
      </c>
      <c r="Q107" s="87">
        <f t="shared" si="10"/>
        <v>950335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26413674</v>
      </c>
      <c r="J108" s="10"/>
      <c r="K108" s="17"/>
      <c r="L108" s="81"/>
      <c r="M108" s="17"/>
      <c r="N108" s="82">
        <f t="shared" si="9"/>
        <v>814196</v>
      </c>
      <c r="O108" s="17"/>
      <c r="P108" s="87">
        <f t="shared" si="8"/>
        <v>136139</v>
      </c>
      <c r="Q108" s="87">
        <f t="shared" si="10"/>
        <v>950335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25595407</v>
      </c>
      <c r="J109" s="10"/>
      <c r="K109" s="17"/>
      <c r="L109" s="81"/>
      <c r="M109" s="17"/>
      <c r="N109" s="82">
        <f t="shared" si="9"/>
        <v>818267</v>
      </c>
      <c r="O109" s="17"/>
      <c r="P109" s="87">
        <f t="shared" si="8"/>
        <v>132068</v>
      </c>
      <c r="Q109" s="87">
        <f t="shared" si="10"/>
        <v>950335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24773049</v>
      </c>
      <c r="J110" s="10"/>
      <c r="K110" s="17"/>
      <c r="L110" s="81"/>
      <c r="M110" s="17"/>
      <c r="N110" s="82">
        <f t="shared" si="9"/>
        <v>822358</v>
      </c>
      <c r="O110" s="17"/>
      <c r="P110" s="87">
        <f t="shared" si="8"/>
        <v>127977</v>
      </c>
      <c r="Q110" s="87">
        <f t="shared" si="10"/>
        <v>950335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23946579</v>
      </c>
      <c r="J111" s="10"/>
      <c r="K111" s="17"/>
      <c r="L111" s="81"/>
      <c r="M111" s="17"/>
      <c r="N111" s="82">
        <f t="shared" si="9"/>
        <v>826470</v>
      </c>
      <c r="O111" s="17"/>
      <c r="P111" s="87">
        <f t="shared" si="8"/>
        <v>123865</v>
      </c>
      <c r="Q111" s="87">
        <f t="shared" si="10"/>
        <v>950335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23115976</v>
      </c>
      <c r="J112" s="10"/>
      <c r="K112" s="17"/>
      <c r="L112" s="81"/>
      <c r="M112" s="17"/>
      <c r="N112" s="82">
        <f t="shared" si="9"/>
        <v>830603</v>
      </c>
      <c r="O112" s="17"/>
      <c r="P112" s="87">
        <f t="shared" si="8"/>
        <v>119732</v>
      </c>
      <c r="Q112" s="87">
        <f t="shared" si="10"/>
        <v>950335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22281220</v>
      </c>
      <c r="J113" s="10"/>
      <c r="K113" s="17"/>
      <c r="L113" s="81"/>
      <c r="M113" s="17"/>
      <c r="N113" s="82">
        <f t="shared" si="9"/>
        <v>834756</v>
      </c>
      <c r="O113" s="17"/>
      <c r="P113" s="87">
        <f t="shared" si="8"/>
        <v>115579</v>
      </c>
      <c r="Q113" s="87">
        <f t="shared" si="10"/>
        <v>950335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21442291</v>
      </c>
      <c r="J114" s="10"/>
      <c r="K114" s="17"/>
      <c r="L114" s="81"/>
      <c r="M114" s="17"/>
      <c r="N114" s="82">
        <f t="shared" si="9"/>
        <v>838929</v>
      </c>
      <c r="O114" s="17"/>
      <c r="P114" s="87">
        <f t="shared" si="8"/>
        <v>111406</v>
      </c>
      <c r="Q114" s="87">
        <f t="shared" si="10"/>
        <v>950335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20599167</v>
      </c>
      <c r="J115" s="10"/>
      <c r="K115" s="17"/>
      <c r="L115" s="81"/>
      <c r="M115" s="17"/>
      <c r="N115" s="82">
        <f t="shared" si="9"/>
        <v>843124</v>
      </c>
      <c r="O115" s="17"/>
      <c r="P115" s="87">
        <f t="shared" si="8"/>
        <v>107211</v>
      </c>
      <c r="Q115" s="87">
        <f t="shared" si="10"/>
        <v>950335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19751827</v>
      </c>
      <c r="J116" s="10"/>
      <c r="K116" s="17"/>
      <c r="L116" s="81"/>
      <c r="M116" s="17"/>
      <c r="N116" s="82">
        <f t="shared" si="9"/>
        <v>847340</v>
      </c>
      <c r="O116" s="17"/>
      <c r="P116" s="87">
        <f t="shared" si="8"/>
        <v>102995</v>
      </c>
      <c r="Q116" s="87">
        <f t="shared" si="10"/>
        <v>950335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18900251</v>
      </c>
      <c r="J117" s="10"/>
      <c r="K117" s="17"/>
      <c r="L117" s="81"/>
      <c r="M117" s="17"/>
      <c r="N117" s="82">
        <f t="shared" si="9"/>
        <v>851576</v>
      </c>
      <c r="O117" s="17"/>
      <c r="P117" s="87">
        <f t="shared" si="8"/>
        <v>98759</v>
      </c>
      <c r="Q117" s="87">
        <f t="shared" si="10"/>
        <v>950335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18044417</v>
      </c>
      <c r="J118" s="10"/>
      <c r="K118" s="17"/>
      <c r="L118" s="81"/>
      <c r="M118" s="17"/>
      <c r="N118" s="82">
        <f t="shared" si="9"/>
        <v>855834</v>
      </c>
      <c r="O118" s="17"/>
      <c r="P118" s="87">
        <f t="shared" si="8"/>
        <v>94501</v>
      </c>
      <c r="Q118" s="87">
        <f t="shared" si="10"/>
        <v>950335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17184304</v>
      </c>
      <c r="J119" s="10"/>
      <c r="K119" s="17"/>
      <c r="L119" s="81"/>
      <c r="M119" s="17"/>
      <c r="N119" s="82">
        <f t="shared" si="9"/>
        <v>860113</v>
      </c>
      <c r="O119" s="17"/>
      <c r="P119" s="87">
        <f t="shared" si="8"/>
        <v>90222</v>
      </c>
      <c r="Q119" s="87">
        <f t="shared" si="10"/>
        <v>950335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16319890</v>
      </c>
      <c r="J120" s="10"/>
      <c r="K120" s="17"/>
      <c r="L120" s="81"/>
      <c r="M120" s="17"/>
      <c r="N120" s="82">
        <f t="shared" si="9"/>
        <v>864414</v>
      </c>
      <c r="O120" s="17"/>
      <c r="P120" s="87">
        <f t="shared" si="8"/>
        <v>85921</v>
      </c>
      <c r="Q120" s="87">
        <f t="shared" si="10"/>
        <v>950335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15451154</v>
      </c>
      <c r="J121" s="10"/>
      <c r="K121" s="17"/>
      <c r="L121" s="81"/>
      <c r="M121" s="17"/>
      <c r="N121" s="82">
        <f t="shared" si="9"/>
        <v>868736</v>
      </c>
      <c r="O121" s="17"/>
      <c r="P121" s="87">
        <f t="shared" si="8"/>
        <v>81599</v>
      </c>
      <c r="Q121" s="87">
        <f t="shared" si="10"/>
        <v>950335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14578074</v>
      </c>
      <c r="J122" s="10"/>
      <c r="K122" s="17"/>
      <c r="L122" s="81"/>
      <c r="M122" s="17"/>
      <c r="N122" s="82">
        <f t="shared" si="9"/>
        <v>873080</v>
      </c>
      <c r="O122" s="17"/>
      <c r="P122" s="87">
        <f t="shared" si="8"/>
        <v>77255</v>
      </c>
      <c r="Q122" s="87">
        <f t="shared" si="10"/>
        <v>950335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13700629</v>
      </c>
      <c r="J123" s="10"/>
      <c r="K123" s="17"/>
      <c r="L123" s="81"/>
      <c r="M123" s="17"/>
      <c r="N123" s="82">
        <f t="shared" si="9"/>
        <v>877445</v>
      </c>
      <c r="O123" s="17"/>
      <c r="P123" s="87">
        <f t="shared" si="8"/>
        <v>72890</v>
      </c>
      <c r="Q123" s="87">
        <f t="shared" si="10"/>
        <v>950335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12818797</v>
      </c>
      <c r="J124" s="10"/>
      <c r="K124" s="17"/>
      <c r="L124" s="81"/>
      <c r="M124" s="17"/>
      <c r="N124" s="82">
        <f t="shared" si="9"/>
        <v>881832</v>
      </c>
      <c r="O124" s="17"/>
      <c r="P124" s="87">
        <f t="shared" si="8"/>
        <v>68503</v>
      </c>
      <c r="Q124" s="87">
        <f t="shared" si="10"/>
        <v>950335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11932555</v>
      </c>
      <c r="J125" s="10"/>
      <c r="K125" s="17"/>
      <c r="L125" s="81"/>
      <c r="M125" s="17"/>
      <c r="N125" s="82">
        <f t="shared" si="9"/>
        <v>886242</v>
      </c>
      <c r="O125" s="17"/>
      <c r="P125" s="87">
        <f t="shared" si="8"/>
        <v>64093</v>
      </c>
      <c r="Q125" s="87">
        <f t="shared" si="10"/>
        <v>950335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11041882</v>
      </c>
      <c r="J126" s="10"/>
      <c r="K126" s="17"/>
      <c r="L126" s="81"/>
      <c r="M126" s="17"/>
      <c r="N126" s="82">
        <f t="shared" si="9"/>
        <v>890673</v>
      </c>
      <c r="O126" s="17"/>
      <c r="P126" s="87">
        <f t="shared" si="8"/>
        <v>59662</v>
      </c>
      <c r="Q126" s="87">
        <f t="shared" si="10"/>
        <v>950335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10146756</v>
      </c>
      <c r="J127" s="10"/>
      <c r="K127" s="17"/>
      <c r="L127" s="81"/>
      <c r="M127" s="17"/>
      <c r="N127" s="82">
        <f t="shared" si="9"/>
        <v>895126</v>
      </c>
      <c r="O127" s="17"/>
      <c r="P127" s="87">
        <f t="shared" si="8"/>
        <v>55209</v>
      </c>
      <c r="Q127" s="87">
        <f t="shared" si="10"/>
        <v>950335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9247154</v>
      </c>
      <c r="J128" s="10"/>
      <c r="K128" s="17"/>
      <c r="L128" s="81"/>
      <c r="M128" s="17"/>
      <c r="N128" s="82">
        <f t="shared" si="9"/>
        <v>899602</v>
      </c>
      <c r="O128" s="17"/>
      <c r="P128" s="87">
        <f t="shared" si="8"/>
        <v>50733</v>
      </c>
      <c r="Q128" s="87">
        <f t="shared" si="10"/>
        <v>950335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8343054</v>
      </c>
      <c r="J129" s="10"/>
      <c r="K129" s="17"/>
      <c r="L129" s="81"/>
      <c r="M129" s="17"/>
      <c r="N129" s="82">
        <f t="shared" si="9"/>
        <v>904100</v>
      </c>
      <c r="O129" s="17"/>
      <c r="P129" s="87">
        <f t="shared" si="8"/>
        <v>46235</v>
      </c>
      <c r="Q129" s="87">
        <f t="shared" si="10"/>
        <v>950335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7434434</v>
      </c>
      <c r="J130" s="10"/>
      <c r="K130" s="17"/>
      <c r="L130" s="81"/>
      <c r="M130" s="17"/>
      <c r="N130" s="82">
        <f t="shared" si="9"/>
        <v>908620</v>
      </c>
      <c r="O130" s="17"/>
      <c r="P130" s="87">
        <f t="shared" si="8"/>
        <v>41715</v>
      </c>
      <c r="Q130" s="87">
        <f t="shared" si="10"/>
        <v>950335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6521271</v>
      </c>
      <c r="J131" s="10"/>
      <c r="K131" s="17"/>
      <c r="L131" s="81"/>
      <c r="M131" s="17"/>
      <c r="N131" s="82">
        <f t="shared" si="9"/>
        <v>913163</v>
      </c>
      <c r="O131" s="17"/>
      <c r="P131" s="87">
        <f t="shared" si="8"/>
        <v>37172</v>
      </c>
      <c r="Q131" s="87">
        <f t="shared" si="10"/>
        <v>950335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5603542</v>
      </c>
      <c r="J132" s="10"/>
      <c r="K132" s="17"/>
      <c r="L132" s="81"/>
      <c r="M132" s="17"/>
      <c r="N132" s="82">
        <f t="shared" si="9"/>
        <v>917729</v>
      </c>
      <c r="O132" s="17"/>
      <c r="P132" s="87">
        <f t="shared" si="8"/>
        <v>32606</v>
      </c>
      <c r="Q132" s="87">
        <f t="shared" si="10"/>
        <v>950335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4681224</v>
      </c>
      <c r="J133" s="10"/>
      <c r="K133" s="17"/>
      <c r="L133" s="81"/>
      <c r="M133" s="17"/>
      <c r="N133" s="82">
        <f t="shared" si="9"/>
        <v>922318</v>
      </c>
      <c r="O133" s="17"/>
      <c r="P133" s="87">
        <f t="shared" si="8"/>
        <v>28017</v>
      </c>
      <c r="Q133" s="87">
        <f t="shared" si="10"/>
        <v>950335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3754295</v>
      </c>
      <c r="J134" s="10"/>
      <c r="K134" s="17"/>
      <c r="L134" s="81"/>
      <c r="M134" s="17"/>
      <c r="N134" s="82">
        <f t="shared" si="9"/>
        <v>926929</v>
      </c>
      <c r="O134" s="17"/>
      <c r="P134" s="87">
        <f t="shared" si="8"/>
        <v>23406</v>
      </c>
      <c r="Q134" s="87">
        <f t="shared" si="10"/>
        <v>950335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2822731</v>
      </c>
      <c r="J135" s="10"/>
      <c r="K135" s="17"/>
      <c r="L135" s="81"/>
      <c r="M135" s="17"/>
      <c r="N135" s="82">
        <f t="shared" si="9"/>
        <v>931564</v>
      </c>
      <c r="O135" s="17"/>
      <c r="P135" s="87">
        <f t="shared" si="8"/>
        <v>18771</v>
      </c>
      <c r="Q135" s="87">
        <f t="shared" si="10"/>
        <v>950335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1886509</v>
      </c>
      <c r="J136" s="10"/>
      <c r="K136" s="17"/>
      <c r="L136" s="81"/>
      <c r="M136" s="17"/>
      <c r="N136" s="82">
        <f t="shared" si="9"/>
        <v>936222</v>
      </c>
      <c r="O136" s="17"/>
      <c r="P136" s="87">
        <f t="shared" si="8"/>
        <v>14113</v>
      </c>
      <c r="Q136" s="87">
        <f t="shared" si="10"/>
        <v>950335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945606</v>
      </c>
      <c r="J137" s="10"/>
      <c r="K137" s="17"/>
      <c r="L137" s="81"/>
      <c r="M137" s="17"/>
      <c r="N137" s="82">
        <f t="shared" si="9"/>
        <v>940903</v>
      </c>
      <c r="O137" s="17"/>
      <c r="P137" s="87">
        <f t="shared" si="8"/>
        <v>9432</v>
      </c>
      <c r="Q137" s="87">
        <f t="shared" si="10"/>
        <v>950335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945606</v>
      </c>
      <c r="O138" s="17"/>
      <c r="P138" s="87">
        <f t="shared" si="8"/>
        <v>4728</v>
      </c>
      <c r="Q138" s="87">
        <f t="shared" si="10"/>
        <v>950334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85600000</v>
      </c>
      <c r="O139" s="17"/>
      <c r="P139" s="83">
        <f t="shared" ref="P139:Q139" si="13">SUM(P19:P138)</f>
        <v>28440199</v>
      </c>
      <c r="Q139" s="83">
        <f t="shared" si="13"/>
        <v>114040199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3" width="4.14"/>
    <col customWidth="1" min="4" max="4" width="4.14"/>
    <col customWidth="1" min="5" max="5" width="7.43"/>
    <col customWidth="1" min="6" max="6" width="4.0"/>
    <col customWidth="1" min="7" max="7" width="4.86"/>
    <col customWidth="1" min="8" max="8" width="5.71"/>
    <col customWidth="1" min="9" max="11" width="6.29"/>
    <col customWidth="1" min="12" max="12" width="2.29"/>
    <col customWidth="1" min="13" max="13" width="16.14"/>
    <col customWidth="1" min="14" max="14" width="13.86"/>
    <col customWidth="1" min="15" max="15" width="6.43"/>
    <col customWidth="1" min="16" max="16" width="17.43"/>
    <col customWidth="1" min="17" max="17" width="16.43"/>
    <col customWidth="1" min="18" max="18" width="15.0"/>
    <col customWidth="1" min="19" max="19" width="14.71"/>
    <col customWidth="1" min="20" max="26" width="9.14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39.0" customHeight="1">
      <c r="A2" s="4"/>
      <c r="B2" s="4"/>
      <c r="C2" s="4"/>
      <c r="D2" s="5"/>
      <c r="E2" s="6" t="s">
        <v>47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2"/>
      <c r="S2" s="2"/>
      <c r="T2" s="2"/>
      <c r="U2" s="2"/>
      <c r="V2" s="2"/>
      <c r="W2" s="2"/>
      <c r="X2" s="2"/>
      <c r="Y2" s="3"/>
      <c r="Z2" s="3"/>
    </row>
    <row r="3" ht="13.5" customHeight="1">
      <c r="A3" s="5"/>
      <c r="B3" s="5"/>
      <c r="C3" s="5"/>
      <c r="D3" s="5"/>
      <c r="E3" s="9"/>
      <c r="F3" s="10"/>
      <c r="G3" s="10"/>
      <c r="H3" s="10"/>
      <c r="I3" s="10"/>
      <c r="J3" s="10"/>
      <c r="K3" s="11"/>
      <c r="L3" s="12"/>
      <c r="M3" s="12"/>
      <c r="N3" s="12"/>
      <c r="O3" s="12"/>
      <c r="P3" s="13"/>
      <c r="Q3" s="14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/>
      <c r="B4" s="4"/>
      <c r="C4" s="4"/>
      <c r="D4" s="5"/>
      <c r="E4" s="15" t="s">
        <v>2</v>
      </c>
      <c r="F4" s="7"/>
      <c r="G4" s="7"/>
      <c r="H4" s="7"/>
      <c r="I4" s="7"/>
      <c r="J4" s="7"/>
      <c r="K4" s="8"/>
      <c r="L4" s="2"/>
      <c r="M4" s="16" t="s">
        <v>3</v>
      </c>
      <c r="N4" s="17"/>
      <c r="O4" s="2"/>
      <c r="P4" s="18"/>
      <c r="Q4" s="19"/>
      <c r="R4" s="2"/>
      <c r="S4" s="2"/>
      <c r="T4" s="2"/>
      <c r="U4" s="2"/>
      <c r="V4" s="2"/>
      <c r="W4" s="2"/>
      <c r="X4" s="2"/>
      <c r="Y4" s="3"/>
      <c r="Z4" s="3"/>
    </row>
    <row r="5" ht="18.75" customHeight="1">
      <c r="A5" s="4"/>
      <c r="B5" s="4"/>
      <c r="C5" s="4"/>
      <c r="D5" s="5"/>
      <c r="E5" s="20" t="s">
        <v>4</v>
      </c>
      <c r="F5" s="10"/>
      <c r="G5" s="10"/>
      <c r="H5" s="11"/>
      <c r="I5" s="21">
        <v>152657.0</v>
      </c>
      <c r="J5" s="22"/>
      <c r="K5" s="23"/>
      <c r="L5" s="24"/>
      <c r="M5" s="25" t="s">
        <v>5</v>
      </c>
      <c r="N5" s="17"/>
      <c r="O5" s="26"/>
      <c r="P5" s="18"/>
      <c r="Q5" s="19"/>
      <c r="R5" s="2"/>
      <c r="S5" s="2"/>
      <c r="T5" s="2"/>
      <c r="U5" s="2"/>
      <c r="V5" s="2"/>
      <c r="W5" s="2"/>
      <c r="X5" s="2"/>
      <c r="Y5" s="3"/>
      <c r="Z5" s="3"/>
    </row>
    <row r="6" ht="13.5" customHeight="1">
      <c r="A6" s="4"/>
      <c r="B6" s="4"/>
      <c r="C6" s="4"/>
      <c r="D6" s="5"/>
      <c r="E6" s="20" t="s">
        <v>6</v>
      </c>
      <c r="F6" s="10"/>
      <c r="G6" s="10"/>
      <c r="H6" s="17"/>
      <c r="I6" s="27">
        <v>0.005</v>
      </c>
      <c r="J6" s="28"/>
      <c r="K6" s="29"/>
      <c r="L6" s="30"/>
      <c r="M6" s="31" t="s">
        <v>7</v>
      </c>
      <c r="N6" s="17"/>
      <c r="O6" s="32"/>
      <c r="P6" s="18"/>
      <c r="Q6" s="19"/>
      <c r="R6" s="2"/>
      <c r="S6" s="2"/>
      <c r="T6" s="2"/>
      <c r="U6" s="2"/>
      <c r="V6" s="2"/>
      <c r="W6" s="2"/>
      <c r="X6" s="2"/>
      <c r="Y6" s="3"/>
      <c r="Z6" s="3"/>
    </row>
    <row r="7" ht="13.5" customHeight="1">
      <c r="A7" s="4"/>
      <c r="B7" s="4"/>
      <c r="C7" s="4"/>
      <c r="D7" s="5"/>
      <c r="E7" s="20" t="s">
        <v>8</v>
      </c>
      <c r="F7" s="10"/>
      <c r="G7" s="10"/>
      <c r="H7" s="11"/>
      <c r="I7" s="33">
        <v>120.0</v>
      </c>
      <c r="J7" s="34"/>
      <c r="K7" s="35"/>
      <c r="L7" s="30"/>
      <c r="M7" s="36">
        <v>3.1495591E7</v>
      </c>
      <c r="N7" s="17"/>
      <c r="O7" s="32"/>
      <c r="P7" s="18"/>
      <c r="Q7" s="19"/>
      <c r="R7" s="2"/>
      <c r="S7" s="2"/>
      <c r="T7" s="2"/>
      <c r="U7" s="2"/>
      <c r="V7" s="2"/>
      <c r="W7" s="2"/>
      <c r="X7" s="2"/>
      <c r="Y7" s="3"/>
      <c r="Z7" s="3"/>
    </row>
    <row r="8" ht="13.5" customHeight="1">
      <c r="A8" s="4"/>
      <c r="B8" s="4"/>
      <c r="C8" s="4"/>
      <c r="D8" s="5"/>
      <c r="E8" s="37" t="s">
        <v>9</v>
      </c>
      <c r="F8" s="7"/>
      <c r="G8" s="7"/>
      <c r="H8" s="38"/>
      <c r="I8" s="39">
        <v>1.0</v>
      </c>
      <c r="J8" s="39">
        <v>12.0</v>
      </c>
      <c r="K8" s="40">
        <v>2025.0</v>
      </c>
      <c r="L8" s="30"/>
      <c r="M8" s="31" t="s">
        <v>10</v>
      </c>
      <c r="N8" s="17"/>
      <c r="O8" s="32"/>
      <c r="P8" s="18"/>
      <c r="Q8" s="19"/>
      <c r="R8" s="2"/>
      <c r="S8" s="2"/>
      <c r="T8" s="2"/>
      <c r="U8" s="2"/>
      <c r="V8" s="2"/>
      <c r="W8" s="2"/>
      <c r="X8" s="2"/>
      <c r="Y8" s="3"/>
      <c r="Z8" s="3"/>
    </row>
    <row r="9" ht="13.5" customHeight="1">
      <c r="A9" s="4"/>
      <c r="B9" s="4"/>
      <c r="C9" s="4"/>
      <c r="D9" s="5"/>
      <c r="E9" s="41"/>
      <c r="F9" s="42"/>
      <c r="G9" s="42"/>
      <c r="H9" s="43"/>
      <c r="I9" s="44" t="s">
        <v>11</v>
      </c>
      <c r="J9" s="44" t="s">
        <v>12</v>
      </c>
      <c r="K9" s="44" t="s">
        <v>13</v>
      </c>
      <c r="L9" s="45"/>
      <c r="M9" s="25" t="s">
        <v>14</v>
      </c>
      <c r="N9" s="17"/>
      <c r="O9" s="46"/>
      <c r="P9" s="47"/>
      <c r="Q9" s="48"/>
      <c r="R9" s="2"/>
      <c r="S9" s="2"/>
      <c r="T9" s="2"/>
      <c r="U9" s="2"/>
      <c r="V9" s="2"/>
      <c r="W9" s="2"/>
      <c r="X9" s="2"/>
      <c r="Y9" s="3"/>
      <c r="Z9" s="3"/>
    </row>
    <row r="10" ht="13.5" hidden="1" customHeight="1">
      <c r="A10" s="4"/>
      <c r="B10" s="4"/>
      <c r="C10" s="4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49"/>
      <c r="P10" s="50"/>
      <c r="Q10" s="50"/>
      <c r="R10" s="2"/>
      <c r="S10" s="2"/>
      <c r="T10" s="2"/>
      <c r="U10" s="2"/>
      <c r="V10" s="2"/>
      <c r="W10" s="2"/>
      <c r="X10" s="2"/>
      <c r="Y10" s="3"/>
      <c r="Z10" s="3"/>
    </row>
    <row r="11" ht="13.5" customHeight="1">
      <c r="A11" s="5"/>
      <c r="B11" s="5"/>
      <c r="C11" s="5"/>
      <c r="D11" s="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49"/>
      <c r="P11" s="49"/>
      <c r="Q11" s="49"/>
      <c r="R11" s="2"/>
      <c r="S11" s="52"/>
      <c r="T11" s="2"/>
      <c r="U11" s="2"/>
      <c r="V11" s="2"/>
      <c r="W11" s="2"/>
      <c r="X11" s="2"/>
      <c r="Y11" s="2"/>
      <c r="Z11" s="2"/>
    </row>
    <row r="12" ht="16.5" customHeight="1">
      <c r="A12" s="4"/>
      <c r="B12" s="4"/>
      <c r="C12" s="4"/>
      <c r="D12" s="5"/>
      <c r="E12" s="53" t="s">
        <v>15</v>
      </c>
      <c r="F12" s="54"/>
      <c r="G12" s="54"/>
      <c r="H12" s="54"/>
      <c r="I12" s="54"/>
      <c r="J12" s="54"/>
      <c r="K12" s="54"/>
      <c r="L12" s="54"/>
      <c r="M12" s="55"/>
      <c r="N12" s="56" t="s">
        <v>16</v>
      </c>
      <c r="O12" s="55"/>
      <c r="P12" s="57">
        <f>I5</f>
        <v>152657</v>
      </c>
      <c r="Q12" s="55"/>
      <c r="R12" s="2"/>
      <c r="S12" s="2"/>
      <c r="T12" s="2"/>
      <c r="U12" s="2"/>
      <c r="V12" s="2"/>
      <c r="W12" s="2"/>
      <c r="X12" s="2"/>
      <c r="Y12" s="3"/>
      <c r="Z12" s="3"/>
    </row>
    <row r="13" ht="16.5" customHeight="1">
      <c r="A13" s="4"/>
      <c r="B13" s="4"/>
      <c r="C13" s="4"/>
      <c r="D13" s="5"/>
      <c r="E13" s="58"/>
      <c r="F13" s="59"/>
      <c r="G13" s="59"/>
      <c r="H13" s="59"/>
      <c r="I13" s="59"/>
      <c r="J13" s="59"/>
      <c r="K13" s="59"/>
      <c r="L13" s="59"/>
      <c r="M13" s="60"/>
      <c r="N13" s="61"/>
      <c r="O13" s="60"/>
      <c r="P13" s="61"/>
      <c r="Q13" s="60"/>
      <c r="R13" s="2"/>
      <c r="S13" s="2"/>
      <c r="T13" s="2"/>
      <c r="U13" s="2"/>
      <c r="V13" s="2"/>
      <c r="W13" s="2"/>
      <c r="X13" s="2"/>
      <c r="Y13" s="3"/>
      <c r="Z13" s="3"/>
    </row>
    <row r="14" ht="6.0" customHeight="1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3"/>
      <c r="Z14" s="3"/>
    </row>
    <row r="15" ht="15.75" customHeight="1">
      <c r="A15" s="4"/>
      <c r="B15" s="4"/>
      <c r="C15" s="4"/>
      <c r="D15" s="5"/>
      <c r="E15" s="62" t="s">
        <v>17</v>
      </c>
      <c r="F15" s="10"/>
      <c r="G15" s="10"/>
      <c r="H15" s="10"/>
      <c r="I15" s="10"/>
      <c r="J15" s="10"/>
      <c r="K15" s="17"/>
      <c r="L15" s="63">
        <f>L139</f>
        <v>0</v>
      </c>
      <c r="M15" s="17"/>
      <c r="N15" s="64">
        <f>N139</f>
        <v>152657</v>
      </c>
      <c r="O15" s="17"/>
      <c r="P15" s="65">
        <f t="shared" ref="P15:Q15" si="1">P139</f>
        <v>50625</v>
      </c>
      <c r="Q15" s="66">
        <f t="shared" si="1"/>
        <v>203282</v>
      </c>
      <c r="R15" s="2"/>
      <c r="S15" s="2"/>
      <c r="T15" s="2"/>
      <c r="U15" s="2"/>
      <c r="V15" s="2"/>
      <c r="W15" s="2"/>
      <c r="X15" s="2"/>
      <c r="Y15" s="3"/>
      <c r="Z15" s="3"/>
    </row>
    <row r="16" ht="6.75" customHeight="1">
      <c r="A16" s="4"/>
      <c r="B16" s="4"/>
      <c r="C16" s="4"/>
      <c r="D16" s="5"/>
      <c r="E16" s="67"/>
      <c r="F16" s="68"/>
      <c r="G16" s="68"/>
      <c r="H16" s="68"/>
      <c r="I16" s="67"/>
      <c r="J16" s="67"/>
      <c r="K16" s="67"/>
      <c r="L16" s="67"/>
      <c r="M16" s="67"/>
      <c r="N16" s="67"/>
      <c r="O16" s="67"/>
      <c r="P16" s="67"/>
      <c r="Q16" s="67"/>
      <c r="R16" s="2"/>
      <c r="S16" s="2"/>
      <c r="T16" s="2"/>
      <c r="U16" s="2"/>
      <c r="V16" s="2"/>
      <c r="W16" s="2"/>
      <c r="X16" s="2"/>
      <c r="Y16" s="3"/>
      <c r="Z16" s="3"/>
    </row>
    <row r="17" ht="26.25" customHeight="1">
      <c r="A17" s="4"/>
      <c r="B17" s="4"/>
      <c r="C17" s="4"/>
      <c r="D17" s="5"/>
      <c r="E17" s="69" t="s">
        <v>18</v>
      </c>
      <c r="F17" s="70" t="s">
        <v>19</v>
      </c>
      <c r="G17" s="7"/>
      <c r="H17" s="8"/>
      <c r="I17" s="64" t="s">
        <v>20</v>
      </c>
      <c r="J17" s="10"/>
      <c r="K17" s="17"/>
      <c r="L17" s="71" t="s">
        <v>21</v>
      </c>
      <c r="M17" s="17"/>
      <c r="N17" s="72" t="s">
        <v>22</v>
      </c>
      <c r="O17" s="17"/>
      <c r="P17" s="69" t="s">
        <v>23</v>
      </c>
      <c r="Q17" s="73" t="s">
        <v>24</v>
      </c>
      <c r="R17" s="2"/>
      <c r="S17" s="2"/>
      <c r="T17" s="2"/>
      <c r="U17" s="2"/>
      <c r="V17" s="2"/>
      <c r="W17" s="2"/>
      <c r="X17" s="2"/>
      <c r="Y17" s="3"/>
      <c r="Z17" s="3"/>
    </row>
    <row r="18" ht="13.5" customHeight="1">
      <c r="A18" s="3"/>
      <c r="B18" s="3"/>
      <c r="C18" s="74">
        <f>J8</f>
        <v>12</v>
      </c>
      <c r="D18" s="75"/>
      <c r="E18" s="76">
        <v>0.0</v>
      </c>
      <c r="F18" s="77">
        <f>I8</f>
        <v>1</v>
      </c>
      <c r="G18" s="78" t="str">
        <f t="shared" ref="G18:G138" si="2">VLOOKUP(C18,$A$19:$B$30,2)</f>
        <v>Dic</v>
      </c>
      <c r="H18" s="79">
        <f>K8</f>
        <v>2025</v>
      </c>
      <c r="I18" s="80">
        <f>I5</f>
        <v>152657</v>
      </c>
      <c r="J18" s="10"/>
      <c r="K18" s="17"/>
      <c r="L18" s="81"/>
      <c r="M18" s="17"/>
      <c r="N18" s="82"/>
      <c r="O18" s="17"/>
      <c r="P18" s="76"/>
      <c r="Q18" s="83"/>
      <c r="R18" s="2"/>
      <c r="S18" s="2"/>
      <c r="T18" s="2"/>
      <c r="U18" s="2"/>
      <c r="V18" s="2"/>
      <c r="W18" s="2"/>
      <c r="X18" s="2"/>
      <c r="Y18" s="3"/>
      <c r="Z18" s="3"/>
    </row>
    <row r="19" ht="13.5" customHeight="1">
      <c r="A19" s="3">
        <v>1.0</v>
      </c>
      <c r="B19" s="84" t="s">
        <v>25</v>
      </c>
      <c r="C19" s="74">
        <f t="shared" ref="C19:C167" si="3">IF(C18&lt;12,C18+1,1)</f>
        <v>1</v>
      </c>
      <c r="D19" s="75"/>
      <c r="E19" s="76">
        <f t="shared" ref="E19:E138" si="4">IF($I$7&gt;=A19,A19,"0")</f>
        <v>1</v>
      </c>
      <c r="F19" s="85">
        <f t="shared" ref="F19:F67" si="5">$F$18</f>
        <v>1</v>
      </c>
      <c r="G19" s="78" t="str">
        <f t="shared" si="2"/>
        <v>Ene</v>
      </c>
      <c r="H19" s="86">
        <f t="shared" ref="H19:H138" si="6">IF(C19&gt;C18,H18,H18+1)</f>
        <v>2026</v>
      </c>
      <c r="I19" s="80">
        <f t="shared" ref="I19:I138" si="7">IF((I18-N19-L19)&lt;0,"Excede pago",IF((I18-N19-L19)=0,"0",ROUNDDOWN((I18-N19-L19),0)))</f>
        <v>151725</v>
      </c>
      <c r="J19" s="10"/>
      <c r="K19" s="17"/>
      <c r="L19" s="81"/>
      <c r="M19" s="17"/>
      <c r="N19" s="82">
        <f>ROUND(($Q$19-$P$19-$L$19),0)</f>
        <v>932</v>
      </c>
      <c r="O19" s="17"/>
      <c r="P19" s="87">
        <f t="shared" ref="P19:P138" si="8">ROUNDDOWN((I18*$I$6),0)</f>
        <v>763</v>
      </c>
      <c r="Q19" s="87">
        <f>ROUND((-PMT($I$6,$I$7,$I$5,0,0)+L19),0)</f>
        <v>1695</v>
      </c>
      <c r="R19" s="2"/>
      <c r="S19" s="2"/>
      <c r="T19" s="2"/>
      <c r="U19" s="2"/>
      <c r="V19" s="2"/>
      <c r="W19" s="2"/>
      <c r="X19" s="2"/>
      <c r="Y19" s="3"/>
      <c r="Z19" s="3"/>
    </row>
    <row r="20" ht="13.5" customHeight="1">
      <c r="A20" s="3">
        <v>2.0</v>
      </c>
      <c r="B20" s="84" t="s">
        <v>26</v>
      </c>
      <c r="C20" s="74">
        <f t="shared" si="3"/>
        <v>2</v>
      </c>
      <c r="D20" s="75"/>
      <c r="E20" s="76">
        <f t="shared" si="4"/>
        <v>2</v>
      </c>
      <c r="F20" s="77">
        <f t="shared" si="5"/>
        <v>1</v>
      </c>
      <c r="G20" s="78" t="str">
        <f t="shared" si="2"/>
        <v>Feb</v>
      </c>
      <c r="H20" s="79">
        <f t="shared" si="6"/>
        <v>2026</v>
      </c>
      <c r="I20" s="80">
        <f t="shared" si="7"/>
        <v>150788</v>
      </c>
      <c r="J20" s="10"/>
      <c r="K20" s="17"/>
      <c r="L20" s="81"/>
      <c r="M20" s="17"/>
      <c r="N20" s="82">
        <f t="shared" ref="N20:N138" si="9">IF((($Q$19-$L$19-P20)&lt;=(I19-L20)),ROUND(($Q$19-$L$19-P20),0),ROUND(I19,0))</f>
        <v>937</v>
      </c>
      <c r="O20" s="17"/>
      <c r="P20" s="87">
        <f t="shared" si="8"/>
        <v>758</v>
      </c>
      <c r="Q20" s="87">
        <f t="shared" ref="Q20:Q138" si="10">SUM(L20:P20)</f>
        <v>1695</v>
      </c>
      <c r="R20" s="2"/>
      <c r="S20" s="2"/>
      <c r="T20" s="2"/>
      <c r="U20" s="2"/>
      <c r="V20" s="2"/>
      <c r="W20" s="2"/>
      <c r="X20" s="2"/>
      <c r="Y20" s="3"/>
      <c r="Z20" s="3"/>
    </row>
    <row r="21" ht="13.5" customHeight="1">
      <c r="A21" s="3">
        <v>3.0</v>
      </c>
      <c r="B21" s="84" t="s">
        <v>27</v>
      </c>
      <c r="C21" s="74">
        <f t="shared" si="3"/>
        <v>3</v>
      </c>
      <c r="D21" s="75"/>
      <c r="E21" s="76">
        <f t="shared" si="4"/>
        <v>3</v>
      </c>
      <c r="F21" s="88">
        <f t="shared" si="5"/>
        <v>1</v>
      </c>
      <c r="G21" s="78" t="str">
        <f t="shared" si="2"/>
        <v>Mar</v>
      </c>
      <c r="H21" s="89">
        <f t="shared" si="6"/>
        <v>2026</v>
      </c>
      <c r="I21" s="80">
        <f t="shared" si="7"/>
        <v>149846</v>
      </c>
      <c r="J21" s="10"/>
      <c r="K21" s="17"/>
      <c r="L21" s="81"/>
      <c r="M21" s="17"/>
      <c r="N21" s="82">
        <f t="shared" si="9"/>
        <v>942</v>
      </c>
      <c r="O21" s="17"/>
      <c r="P21" s="87">
        <f t="shared" si="8"/>
        <v>753</v>
      </c>
      <c r="Q21" s="87">
        <f t="shared" si="10"/>
        <v>1695</v>
      </c>
      <c r="R21" s="2"/>
      <c r="S21" s="2"/>
      <c r="T21" s="2"/>
      <c r="U21" s="2"/>
      <c r="V21" s="2"/>
      <c r="W21" s="2"/>
      <c r="X21" s="2"/>
      <c r="Y21" s="3"/>
      <c r="Z21" s="3"/>
    </row>
    <row r="22" ht="13.5" customHeight="1">
      <c r="A22" s="3">
        <v>4.0</v>
      </c>
      <c r="B22" s="84" t="s">
        <v>28</v>
      </c>
      <c r="C22" s="74">
        <f t="shared" si="3"/>
        <v>4</v>
      </c>
      <c r="D22" s="75"/>
      <c r="E22" s="76">
        <f t="shared" si="4"/>
        <v>4</v>
      </c>
      <c r="F22" s="77">
        <f t="shared" si="5"/>
        <v>1</v>
      </c>
      <c r="G22" s="78" t="str">
        <f t="shared" si="2"/>
        <v>Abr</v>
      </c>
      <c r="H22" s="79">
        <f t="shared" si="6"/>
        <v>2026</v>
      </c>
      <c r="I22" s="80">
        <f t="shared" si="7"/>
        <v>148900</v>
      </c>
      <c r="J22" s="10"/>
      <c r="K22" s="17"/>
      <c r="L22" s="81"/>
      <c r="M22" s="17"/>
      <c r="N22" s="82">
        <f t="shared" si="9"/>
        <v>946</v>
      </c>
      <c r="O22" s="17"/>
      <c r="P22" s="87">
        <f t="shared" si="8"/>
        <v>749</v>
      </c>
      <c r="Q22" s="87">
        <f t="shared" si="10"/>
        <v>1695</v>
      </c>
      <c r="R22" s="2"/>
      <c r="S22" s="2"/>
      <c r="T22" s="2"/>
      <c r="U22" s="2"/>
      <c r="V22" s="2"/>
      <c r="W22" s="2"/>
      <c r="X22" s="2"/>
      <c r="Y22" s="3"/>
      <c r="Z22" s="3"/>
    </row>
    <row r="23" ht="13.5" customHeight="1">
      <c r="A23" s="3">
        <v>5.0</v>
      </c>
      <c r="B23" s="84" t="s">
        <v>29</v>
      </c>
      <c r="C23" s="74">
        <f t="shared" si="3"/>
        <v>5</v>
      </c>
      <c r="D23" s="75"/>
      <c r="E23" s="76">
        <f t="shared" si="4"/>
        <v>5</v>
      </c>
      <c r="F23" s="88">
        <f t="shared" si="5"/>
        <v>1</v>
      </c>
      <c r="G23" s="78" t="str">
        <f t="shared" si="2"/>
        <v>May</v>
      </c>
      <c r="H23" s="89">
        <f t="shared" si="6"/>
        <v>2026</v>
      </c>
      <c r="I23" s="80">
        <f t="shared" si="7"/>
        <v>147949</v>
      </c>
      <c r="J23" s="10"/>
      <c r="K23" s="17"/>
      <c r="L23" s="81"/>
      <c r="M23" s="17"/>
      <c r="N23" s="82">
        <f t="shared" si="9"/>
        <v>951</v>
      </c>
      <c r="O23" s="17"/>
      <c r="P23" s="87">
        <f t="shared" si="8"/>
        <v>744</v>
      </c>
      <c r="Q23" s="87">
        <f t="shared" si="10"/>
        <v>1695</v>
      </c>
      <c r="R23" s="2"/>
      <c r="S23" s="2"/>
      <c r="T23" s="2"/>
      <c r="U23" s="2"/>
      <c r="V23" s="2"/>
      <c r="W23" s="2"/>
      <c r="X23" s="2"/>
      <c r="Y23" s="3"/>
      <c r="Z23" s="3"/>
    </row>
    <row r="24" ht="13.5" customHeight="1">
      <c r="A24" s="3">
        <v>6.0</v>
      </c>
      <c r="B24" s="84" t="s">
        <v>30</v>
      </c>
      <c r="C24" s="74">
        <f t="shared" si="3"/>
        <v>6</v>
      </c>
      <c r="D24" s="75"/>
      <c r="E24" s="76">
        <f t="shared" si="4"/>
        <v>6</v>
      </c>
      <c r="F24" s="77">
        <f t="shared" si="5"/>
        <v>1</v>
      </c>
      <c r="G24" s="78" t="str">
        <f t="shared" si="2"/>
        <v>Jun</v>
      </c>
      <c r="H24" s="79">
        <f t="shared" si="6"/>
        <v>2026</v>
      </c>
      <c r="I24" s="80">
        <f t="shared" si="7"/>
        <v>146993</v>
      </c>
      <c r="J24" s="10"/>
      <c r="K24" s="17"/>
      <c r="L24" s="81"/>
      <c r="M24" s="17"/>
      <c r="N24" s="82">
        <f t="shared" si="9"/>
        <v>956</v>
      </c>
      <c r="O24" s="17"/>
      <c r="P24" s="87">
        <f t="shared" si="8"/>
        <v>739</v>
      </c>
      <c r="Q24" s="87">
        <f t="shared" si="10"/>
        <v>1695</v>
      </c>
      <c r="R24" s="2"/>
      <c r="S24" s="2"/>
      <c r="T24" s="2"/>
      <c r="U24" s="2"/>
      <c r="V24" s="2"/>
      <c r="W24" s="2"/>
      <c r="X24" s="2"/>
      <c r="Y24" s="3"/>
      <c r="Z24" s="3"/>
    </row>
    <row r="25" ht="13.5" customHeight="1">
      <c r="A25" s="3">
        <v>7.0</v>
      </c>
      <c r="B25" s="84" t="s">
        <v>31</v>
      </c>
      <c r="C25" s="74">
        <f t="shared" si="3"/>
        <v>7</v>
      </c>
      <c r="D25" s="75"/>
      <c r="E25" s="76">
        <f t="shared" si="4"/>
        <v>7</v>
      </c>
      <c r="F25" s="77">
        <f t="shared" si="5"/>
        <v>1</v>
      </c>
      <c r="G25" s="78" t="str">
        <f t="shared" si="2"/>
        <v>Jul</v>
      </c>
      <c r="H25" s="79">
        <f t="shared" si="6"/>
        <v>2026</v>
      </c>
      <c r="I25" s="80">
        <f t="shared" si="7"/>
        <v>146032</v>
      </c>
      <c r="J25" s="10"/>
      <c r="K25" s="17"/>
      <c r="L25" s="81"/>
      <c r="M25" s="17"/>
      <c r="N25" s="82">
        <f t="shared" si="9"/>
        <v>961</v>
      </c>
      <c r="O25" s="17"/>
      <c r="P25" s="87">
        <f t="shared" si="8"/>
        <v>734</v>
      </c>
      <c r="Q25" s="87">
        <f t="shared" si="10"/>
        <v>1695</v>
      </c>
      <c r="R25" s="2"/>
      <c r="S25" s="2"/>
      <c r="T25" s="2"/>
      <c r="U25" s="2"/>
      <c r="V25" s="2"/>
      <c r="W25" s="2"/>
      <c r="X25" s="2"/>
      <c r="Y25" s="3"/>
      <c r="Z25" s="3"/>
    </row>
    <row r="26" ht="13.5" customHeight="1">
      <c r="A26" s="3">
        <v>8.0</v>
      </c>
      <c r="B26" s="84" t="s">
        <v>32</v>
      </c>
      <c r="C26" s="74">
        <f t="shared" si="3"/>
        <v>8</v>
      </c>
      <c r="D26" s="75"/>
      <c r="E26" s="76">
        <f t="shared" si="4"/>
        <v>8</v>
      </c>
      <c r="F26" s="85">
        <f t="shared" si="5"/>
        <v>1</v>
      </c>
      <c r="G26" s="78" t="str">
        <f t="shared" si="2"/>
        <v>Ago</v>
      </c>
      <c r="H26" s="86">
        <f t="shared" si="6"/>
        <v>2026</v>
      </c>
      <c r="I26" s="80">
        <f t="shared" si="7"/>
        <v>145067</v>
      </c>
      <c r="J26" s="10"/>
      <c r="K26" s="17"/>
      <c r="L26" s="81"/>
      <c r="M26" s="17"/>
      <c r="N26" s="82">
        <f t="shared" si="9"/>
        <v>965</v>
      </c>
      <c r="O26" s="17"/>
      <c r="P26" s="87">
        <f t="shared" si="8"/>
        <v>730</v>
      </c>
      <c r="Q26" s="87">
        <f t="shared" si="10"/>
        <v>1695</v>
      </c>
      <c r="R26" s="2"/>
      <c r="S26" s="2"/>
      <c r="T26" s="2"/>
      <c r="U26" s="2"/>
      <c r="V26" s="2"/>
      <c r="W26" s="2"/>
      <c r="X26" s="2"/>
      <c r="Y26" s="3"/>
      <c r="Z26" s="3"/>
    </row>
    <row r="27" ht="13.5" customHeight="1">
      <c r="A27" s="3">
        <v>9.0</v>
      </c>
      <c r="B27" s="84" t="s">
        <v>33</v>
      </c>
      <c r="C27" s="74">
        <f t="shared" si="3"/>
        <v>9</v>
      </c>
      <c r="D27" s="75"/>
      <c r="E27" s="76">
        <f t="shared" si="4"/>
        <v>9</v>
      </c>
      <c r="F27" s="77">
        <f t="shared" si="5"/>
        <v>1</v>
      </c>
      <c r="G27" s="78" t="str">
        <f t="shared" si="2"/>
        <v>Sep</v>
      </c>
      <c r="H27" s="79">
        <f t="shared" si="6"/>
        <v>2026</v>
      </c>
      <c r="I27" s="80">
        <f t="shared" si="7"/>
        <v>144097</v>
      </c>
      <c r="J27" s="10"/>
      <c r="K27" s="17"/>
      <c r="L27" s="81"/>
      <c r="M27" s="17"/>
      <c r="N27" s="82">
        <f t="shared" si="9"/>
        <v>970</v>
      </c>
      <c r="O27" s="17"/>
      <c r="P27" s="87">
        <f t="shared" si="8"/>
        <v>725</v>
      </c>
      <c r="Q27" s="87">
        <f t="shared" si="10"/>
        <v>1695</v>
      </c>
      <c r="R27" s="2"/>
      <c r="S27" s="2"/>
      <c r="T27" s="2"/>
      <c r="U27" s="2"/>
      <c r="V27" s="2"/>
      <c r="W27" s="2"/>
      <c r="X27" s="2"/>
      <c r="Y27" s="3"/>
      <c r="Z27" s="3"/>
    </row>
    <row r="28" ht="13.5" customHeight="1">
      <c r="A28" s="3">
        <v>10.0</v>
      </c>
      <c r="B28" s="84" t="s">
        <v>34</v>
      </c>
      <c r="C28" s="74">
        <f t="shared" si="3"/>
        <v>10</v>
      </c>
      <c r="D28" s="75"/>
      <c r="E28" s="76">
        <f t="shared" si="4"/>
        <v>10</v>
      </c>
      <c r="F28" s="88">
        <f t="shared" si="5"/>
        <v>1</v>
      </c>
      <c r="G28" s="78" t="str">
        <f t="shared" si="2"/>
        <v>Oct</v>
      </c>
      <c r="H28" s="89">
        <f t="shared" si="6"/>
        <v>2026</v>
      </c>
      <c r="I28" s="80">
        <f t="shared" si="7"/>
        <v>143122</v>
      </c>
      <c r="J28" s="10"/>
      <c r="K28" s="17"/>
      <c r="L28" s="81"/>
      <c r="M28" s="17"/>
      <c r="N28" s="82">
        <f t="shared" si="9"/>
        <v>975</v>
      </c>
      <c r="O28" s="17"/>
      <c r="P28" s="87">
        <f t="shared" si="8"/>
        <v>720</v>
      </c>
      <c r="Q28" s="87">
        <f t="shared" si="10"/>
        <v>1695</v>
      </c>
      <c r="R28" s="2"/>
      <c r="S28" s="2"/>
      <c r="T28" s="2"/>
      <c r="U28" s="2"/>
      <c r="V28" s="2"/>
      <c r="W28" s="2"/>
      <c r="X28" s="2"/>
      <c r="Y28" s="3"/>
      <c r="Z28" s="3"/>
    </row>
    <row r="29" ht="13.5" customHeight="1">
      <c r="A29" s="3">
        <v>11.0</v>
      </c>
      <c r="B29" s="84" t="s">
        <v>35</v>
      </c>
      <c r="C29" s="74">
        <f t="shared" si="3"/>
        <v>11</v>
      </c>
      <c r="D29" s="75"/>
      <c r="E29" s="76">
        <f t="shared" si="4"/>
        <v>11</v>
      </c>
      <c r="F29" s="77">
        <f t="shared" si="5"/>
        <v>1</v>
      </c>
      <c r="G29" s="78" t="str">
        <f t="shared" si="2"/>
        <v>Nov</v>
      </c>
      <c r="H29" s="79">
        <f t="shared" si="6"/>
        <v>2026</v>
      </c>
      <c r="I29" s="80">
        <f t="shared" si="7"/>
        <v>142142</v>
      </c>
      <c r="J29" s="10"/>
      <c r="K29" s="17"/>
      <c r="L29" s="81"/>
      <c r="M29" s="17"/>
      <c r="N29" s="82">
        <f t="shared" si="9"/>
        <v>980</v>
      </c>
      <c r="O29" s="17"/>
      <c r="P29" s="87">
        <f t="shared" si="8"/>
        <v>715</v>
      </c>
      <c r="Q29" s="87">
        <f t="shared" si="10"/>
        <v>1695</v>
      </c>
      <c r="R29" s="2"/>
      <c r="S29" s="2"/>
      <c r="T29" s="2"/>
      <c r="U29" s="2"/>
      <c r="V29" s="2"/>
      <c r="W29" s="2"/>
      <c r="X29" s="2"/>
      <c r="Y29" s="3"/>
      <c r="Z29" s="3"/>
    </row>
    <row r="30" ht="13.5" customHeight="1">
      <c r="A30" s="3">
        <v>12.0</v>
      </c>
      <c r="B30" s="84" t="s">
        <v>36</v>
      </c>
      <c r="C30" s="74">
        <f t="shared" si="3"/>
        <v>12</v>
      </c>
      <c r="D30" s="75"/>
      <c r="E30" s="76">
        <f t="shared" si="4"/>
        <v>12</v>
      </c>
      <c r="F30" s="77">
        <f t="shared" si="5"/>
        <v>1</v>
      </c>
      <c r="G30" s="78" t="str">
        <f t="shared" si="2"/>
        <v>Dic</v>
      </c>
      <c r="H30" s="79">
        <f t="shared" si="6"/>
        <v>2026</v>
      </c>
      <c r="I30" s="80">
        <f t="shared" si="7"/>
        <v>141157</v>
      </c>
      <c r="J30" s="10"/>
      <c r="K30" s="17"/>
      <c r="L30" s="81"/>
      <c r="M30" s="17"/>
      <c r="N30" s="82">
        <f t="shared" si="9"/>
        <v>985</v>
      </c>
      <c r="O30" s="17"/>
      <c r="P30" s="87">
        <f t="shared" si="8"/>
        <v>710</v>
      </c>
      <c r="Q30" s="87">
        <f t="shared" si="10"/>
        <v>1695</v>
      </c>
      <c r="R30" s="2"/>
      <c r="S30" s="2"/>
      <c r="T30" s="2"/>
      <c r="U30" s="2"/>
      <c r="V30" s="2"/>
      <c r="W30" s="2"/>
      <c r="X30" s="2"/>
      <c r="Y30" s="3"/>
      <c r="Z30" s="3"/>
    </row>
    <row r="31" ht="13.5" customHeight="1">
      <c r="A31" s="3">
        <v>13.0</v>
      </c>
      <c r="B31" s="3"/>
      <c r="C31" s="74">
        <f t="shared" si="3"/>
        <v>1</v>
      </c>
      <c r="D31" s="75"/>
      <c r="E31" s="76">
        <f t="shared" si="4"/>
        <v>13</v>
      </c>
      <c r="F31" s="77">
        <f t="shared" si="5"/>
        <v>1</v>
      </c>
      <c r="G31" s="78" t="str">
        <f t="shared" si="2"/>
        <v>Ene</v>
      </c>
      <c r="H31" s="79">
        <f t="shared" si="6"/>
        <v>2027</v>
      </c>
      <c r="I31" s="80">
        <f t="shared" si="7"/>
        <v>140167</v>
      </c>
      <c r="J31" s="10"/>
      <c r="K31" s="17"/>
      <c r="L31" s="81"/>
      <c r="M31" s="17"/>
      <c r="N31" s="82">
        <f t="shared" si="9"/>
        <v>990</v>
      </c>
      <c r="O31" s="17"/>
      <c r="P31" s="87">
        <f t="shared" si="8"/>
        <v>705</v>
      </c>
      <c r="Q31" s="87">
        <f t="shared" si="10"/>
        <v>1695</v>
      </c>
      <c r="R31" s="2"/>
      <c r="S31" s="2"/>
      <c r="T31" s="2"/>
      <c r="U31" s="2"/>
      <c r="V31" s="2"/>
      <c r="W31" s="2"/>
      <c r="X31" s="2"/>
      <c r="Y31" s="3"/>
      <c r="Z31" s="3"/>
    </row>
    <row r="32" ht="13.5" customHeight="1">
      <c r="A32" s="3">
        <v>14.0</v>
      </c>
      <c r="B32" s="3"/>
      <c r="C32" s="74">
        <f t="shared" si="3"/>
        <v>2</v>
      </c>
      <c r="D32" s="75"/>
      <c r="E32" s="76">
        <f t="shared" si="4"/>
        <v>14</v>
      </c>
      <c r="F32" s="77">
        <f t="shared" si="5"/>
        <v>1</v>
      </c>
      <c r="G32" s="78" t="str">
        <f t="shared" si="2"/>
        <v>Feb</v>
      </c>
      <c r="H32" s="79">
        <f t="shared" si="6"/>
        <v>2027</v>
      </c>
      <c r="I32" s="80">
        <f t="shared" si="7"/>
        <v>139172</v>
      </c>
      <c r="J32" s="10"/>
      <c r="K32" s="17"/>
      <c r="L32" s="81"/>
      <c r="M32" s="17"/>
      <c r="N32" s="82">
        <f t="shared" si="9"/>
        <v>995</v>
      </c>
      <c r="O32" s="17"/>
      <c r="P32" s="87">
        <f t="shared" si="8"/>
        <v>700</v>
      </c>
      <c r="Q32" s="87">
        <f t="shared" si="10"/>
        <v>1695</v>
      </c>
      <c r="R32" s="2"/>
      <c r="S32" s="2"/>
      <c r="T32" s="2"/>
      <c r="U32" s="2"/>
      <c r="V32" s="2"/>
      <c r="W32" s="2"/>
      <c r="X32" s="2"/>
      <c r="Y32" s="3"/>
      <c r="Z32" s="3"/>
    </row>
    <row r="33" ht="13.5" customHeight="1">
      <c r="A33" s="3">
        <v>15.0</v>
      </c>
      <c r="B33" s="3"/>
      <c r="C33" s="74">
        <f t="shared" si="3"/>
        <v>3</v>
      </c>
      <c r="D33" s="75"/>
      <c r="E33" s="76">
        <f t="shared" si="4"/>
        <v>15</v>
      </c>
      <c r="F33" s="77">
        <f t="shared" si="5"/>
        <v>1</v>
      </c>
      <c r="G33" s="78" t="str">
        <f t="shared" si="2"/>
        <v>Mar</v>
      </c>
      <c r="H33" s="79">
        <f t="shared" si="6"/>
        <v>2027</v>
      </c>
      <c r="I33" s="80">
        <f t="shared" si="7"/>
        <v>138172</v>
      </c>
      <c r="J33" s="10"/>
      <c r="K33" s="17"/>
      <c r="L33" s="81"/>
      <c r="M33" s="17"/>
      <c r="N33" s="82">
        <f t="shared" si="9"/>
        <v>1000</v>
      </c>
      <c r="O33" s="17"/>
      <c r="P33" s="87">
        <f t="shared" si="8"/>
        <v>695</v>
      </c>
      <c r="Q33" s="87">
        <f t="shared" si="10"/>
        <v>1695</v>
      </c>
      <c r="R33" s="2"/>
      <c r="S33" s="2"/>
      <c r="T33" s="2"/>
      <c r="U33" s="2"/>
      <c r="V33" s="2"/>
      <c r="W33" s="2"/>
      <c r="X33" s="2"/>
      <c r="Y33" s="3"/>
      <c r="Z33" s="3"/>
    </row>
    <row r="34" ht="13.5" customHeight="1">
      <c r="A34" s="3">
        <v>16.0</v>
      </c>
      <c r="B34" s="3"/>
      <c r="C34" s="74">
        <f t="shared" si="3"/>
        <v>4</v>
      </c>
      <c r="D34" s="75"/>
      <c r="E34" s="76">
        <f t="shared" si="4"/>
        <v>16</v>
      </c>
      <c r="F34" s="77">
        <f t="shared" si="5"/>
        <v>1</v>
      </c>
      <c r="G34" s="78" t="str">
        <f t="shared" si="2"/>
        <v>Abr</v>
      </c>
      <c r="H34" s="79">
        <f t="shared" si="6"/>
        <v>2027</v>
      </c>
      <c r="I34" s="80">
        <f t="shared" si="7"/>
        <v>137167</v>
      </c>
      <c r="J34" s="10"/>
      <c r="K34" s="17"/>
      <c r="L34" s="81"/>
      <c r="M34" s="17"/>
      <c r="N34" s="82">
        <f t="shared" si="9"/>
        <v>1005</v>
      </c>
      <c r="O34" s="17"/>
      <c r="P34" s="87">
        <f t="shared" si="8"/>
        <v>690</v>
      </c>
      <c r="Q34" s="87">
        <f t="shared" si="10"/>
        <v>1695</v>
      </c>
      <c r="R34" s="2"/>
      <c r="S34" s="2"/>
      <c r="T34" s="2"/>
      <c r="U34" s="2"/>
      <c r="V34" s="2"/>
      <c r="W34" s="2"/>
      <c r="X34" s="2"/>
      <c r="Y34" s="3"/>
      <c r="Z34" s="3"/>
    </row>
    <row r="35" ht="13.5" customHeight="1">
      <c r="A35" s="3">
        <v>17.0</v>
      </c>
      <c r="B35" s="3"/>
      <c r="C35" s="74">
        <f t="shared" si="3"/>
        <v>5</v>
      </c>
      <c r="D35" s="75"/>
      <c r="E35" s="76">
        <f t="shared" si="4"/>
        <v>17</v>
      </c>
      <c r="F35" s="77">
        <f t="shared" si="5"/>
        <v>1</v>
      </c>
      <c r="G35" s="78" t="str">
        <f t="shared" si="2"/>
        <v>May</v>
      </c>
      <c r="H35" s="79">
        <f t="shared" si="6"/>
        <v>2027</v>
      </c>
      <c r="I35" s="80">
        <f t="shared" si="7"/>
        <v>136157</v>
      </c>
      <c r="J35" s="10"/>
      <c r="K35" s="17"/>
      <c r="L35" s="81"/>
      <c r="M35" s="17"/>
      <c r="N35" s="82">
        <f t="shared" si="9"/>
        <v>1010</v>
      </c>
      <c r="O35" s="17"/>
      <c r="P35" s="87">
        <f t="shared" si="8"/>
        <v>685</v>
      </c>
      <c r="Q35" s="87">
        <f t="shared" si="10"/>
        <v>1695</v>
      </c>
      <c r="R35" s="2"/>
      <c r="S35" s="2"/>
      <c r="T35" s="2"/>
      <c r="U35" s="2"/>
      <c r="V35" s="2"/>
      <c r="W35" s="2"/>
      <c r="X35" s="2"/>
      <c r="Y35" s="3"/>
      <c r="Z35" s="3"/>
    </row>
    <row r="36" ht="13.5" customHeight="1">
      <c r="A36" s="3">
        <v>18.0</v>
      </c>
      <c r="B36" s="3"/>
      <c r="C36" s="74">
        <f t="shared" si="3"/>
        <v>6</v>
      </c>
      <c r="D36" s="75"/>
      <c r="E36" s="76">
        <f t="shared" si="4"/>
        <v>18</v>
      </c>
      <c r="F36" s="77">
        <f t="shared" si="5"/>
        <v>1</v>
      </c>
      <c r="G36" s="78" t="str">
        <f t="shared" si="2"/>
        <v>Jun</v>
      </c>
      <c r="H36" s="79">
        <f t="shared" si="6"/>
        <v>2027</v>
      </c>
      <c r="I36" s="80">
        <f t="shared" si="7"/>
        <v>135142</v>
      </c>
      <c r="J36" s="10"/>
      <c r="K36" s="17"/>
      <c r="L36" s="81"/>
      <c r="M36" s="17"/>
      <c r="N36" s="82">
        <f t="shared" si="9"/>
        <v>1015</v>
      </c>
      <c r="O36" s="17"/>
      <c r="P36" s="87">
        <f t="shared" si="8"/>
        <v>680</v>
      </c>
      <c r="Q36" s="87">
        <f t="shared" si="10"/>
        <v>1695</v>
      </c>
      <c r="R36" s="2"/>
      <c r="S36" s="2"/>
      <c r="T36" s="2"/>
      <c r="U36" s="2"/>
      <c r="V36" s="2"/>
      <c r="W36" s="2"/>
      <c r="X36" s="2"/>
      <c r="Y36" s="3"/>
      <c r="Z36" s="3"/>
    </row>
    <row r="37" ht="13.5" customHeight="1">
      <c r="A37" s="3">
        <v>19.0</v>
      </c>
      <c r="B37" s="3"/>
      <c r="C37" s="74">
        <f t="shared" si="3"/>
        <v>7</v>
      </c>
      <c r="D37" s="75"/>
      <c r="E37" s="76">
        <f t="shared" si="4"/>
        <v>19</v>
      </c>
      <c r="F37" s="77">
        <f t="shared" si="5"/>
        <v>1</v>
      </c>
      <c r="G37" s="78" t="str">
        <f t="shared" si="2"/>
        <v>Jul</v>
      </c>
      <c r="H37" s="79">
        <f t="shared" si="6"/>
        <v>2027</v>
      </c>
      <c r="I37" s="80">
        <f t="shared" si="7"/>
        <v>134122</v>
      </c>
      <c r="J37" s="10"/>
      <c r="K37" s="17"/>
      <c r="L37" s="81"/>
      <c r="M37" s="17"/>
      <c r="N37" s="82">
        <f t="shared" si="9"/>
        <v>1020</v>
      </c>
      <c r="O37" s="17"/>
      <c r="P37" s="87">
        <f t="shared" si="8"/>
        <v>675</v>
      </c>
      <c r="Q37" s="87">
        <f t="shared" si="10"/>
        <v>1695</v>
      </c>
      <c r="R37" s="2"/>
      <c r="S37" s="2"/>
      <c r="T37" s="2"/>
      <c r="U37" s="2"/>
      <c r="V37" s="2"/>
      <c r="W37" s="2"/>
      <c r="X37" s="2"/>
      <c r="Y37" s="3"/>
      <c r="Z37" s="3"/>
    </row>
    <row r="38" ht="13.5" customHeight="1">
      <c r="A38" s="3">
        <v>20.0</v>
      </c>
      <c r="B38" s="3"/>
      <c r="C38" s="74">
        <f t="shared" si="3"/>
        <v>8</v>
      </c>
      <c r="D38" s="75"/>
      <c r="E38" s="76">
        <f t="shared" si="4"/>
        <v>20</v>
      </c>
      <c r="F38" s="77">
        <f t="shared" si="5"/>
        <v>1</v>
      </c>
      <c r="G38" s="78" t="str">
        <f t="shared" si="2"/>
        <v>Ago</v>
      </c>
      <c r="H38" s="79">
        <f t="shared" si="6"/>
        <v>2027</v>
      </c>
      <c r="I38" s="80">
        <f t="shared" si="7"/>
        <v>133097</v>
      </c>
      <c r="J38" s="10"/>
      <c r="K38" s="17"/>
      <c r="L38" s="81"/>
      <c r="M38" s="17"/>
      <c r="N38" s="82">
        <f t="shared" si="9"/>
        <v>1025</v>
      </c>
      <c r="O38" s="17"/>
      <c r="P38" s="87">
        <f t="shared" si="8"/>
        <v>670</v>
      </c>
      <c r="Q38" s="87">
        <f t="shared" si="10"/>
        <v>1695</v>
      </c>
      <c r="R38" s="2"/>
      <c r="S38" s="2"/>
      <c r="T38" s="2"/>
      <c r="U38" s="2"/>
      <c r="V38" s="2"/>
      <c r="W38" s="2"/>
      <c r="X38" s="2"/>
      <c r="Y38" s="3"/>
      <c r="Z38" s="3"/>
    </row>
    <row r="39" ht="13.5" customHeight="1">
      <c r="A39" s="3">
        <v>21.0</v>
      </c>
      <c r="B39" s="3"/>
      <c r="C39" s="74">
        <f t="shared" si="3"/>
        <v>9</v>
      </c>
      <c r="D39" s="75"/>
      <c r="E39" s="76">
        <f t="shared" si="4"/>
        <v>21</v>
      </c>
      <c r="F39" s="77">
        <f t="shared" si="5"/>
        <v>1</v>
      </c>
      <c r="G39" s="78" t="str">
        <f t="shared" si="2"/>
        <v>Sep</v>
      </c>
      <c r="H39" s="79">
        <f t="shared" si="6"/>
        <v>2027</v>
      </c>
      <c r="I39" s="80">
        <f t="shared" si="7"/>
        <v>132067</v>
      </c>
      <c r="J39" s="10"/>
      <c r="K39" s="17"/>
      <c r="L39" s="81"/>
      <c r="M39" s="17"/>
      <c r="N39" s="82">
        <f t="shared" si="9"/>
        <v>1030</v>
      </c>
      <c r="O39" s="17"/>
      <c r="P39" s="87">
        <f t="shared" si="8"/>
        <v>665</v>
      </c>
      <c r="Q39" s="87">
        <f t="shared" si="10"/>
        <v>1695</v>
      </c>
      <c r="R39" s="2"/>
      <c r="S39" s="2"/>
      <c r="T39" s="2"/>
      <c r="U39" s="2"/>
      <c r="V39" s="2"/>
      <c r="W39" s="2"/>
      <c r="X39" s="2"/>
      <c r="Y39" s="3"/>
      <c r="Z39" s="3"/>
    </row>
    <row r="40" ht="13.5" customHeight="1">
      <c r="A40" s="3">
        <v>22.0</v>
      </c>
      <c r="B40" s="3"/>
      <c r="C40" s="74">
        <f t="shared" si="3"/>
        <v>10</v>
      </c>
      <c r="D40" s="75"/>
      <c r="E40" s="76">
        <f t="shared" si="4"/>
        <v>22</v>
      </c>
      <c r="F40" s="88">
        <f t="shared" si="5"/>
        <v>1</v>
      </c>
      <c r="G40" s="78" t="str">
        <f t="shared" si="2"/>
        <v>Oct</v>
      </c>
      <c r="H40" s="89">
        <f t="shared" si="6"/>
        <v>2027</v>
      </c>
      <c r="I40" s="80">
        <f t="shared" si="7"/>
        <v>131032</v>
      </c>
      <c r="J40" s="10"/>
      <c r="K40" s="17"/>
      <c r="L40" s="81"/>
      <c r="M40" s="17"/>
      <c r="N40" s="82">
        <f t="shared" si="9"/>
        <v>1035</v>
      </c>
      <c r="O40" s="17"/>
      <c r="P40" s="87">
        <f t="shared" si="8"/>
        <v>660</v>
      </c>
      <c r="Q40" s="87">
        <f t="shared" si="10"/>
        <v>1695</v>
      </c>
      <c r="R40" s="2"/>
      <c r="S40" s="2"/>
      <c r="T40" s="2"/>
      <c r="U40" s="2"/>
      <c r="V40" s="2"/>
      <c r="W40" s="2"/>
      <c r="X40" s="2"/>
      <c r="Y40" s="3"/>
      <c r="Z40" s="3"/>
    </row>
    <row r="41" ht="13.5" customHeight="1">
      <c r="A41" s="3">
        <v>23.0</v>
      </c>
      <c r="B41" s="3"/>
      <c r="C41" s="74">
        <f t="shared" si="3"/>
        <v>11</v>
      </c>
      <c r="D41" s="75"/>
      <c r="E41" s="76">
        <f t="shared" si="4"/>
        <v>23</v>
      </c>
      <c r="F41" s="77">
        <f t="shared" si="5"/>
        <v>1</v>
      </c>
      <c r="G41" s="78" t="str">
        <f t="shared" si="2"/>
        <v>Nov</v>
      </c>
      <c r="H41" s="79">
        <f t="shared" si="6"/>
        <v>2027</v>
      </c>
      <c r="I41" s="80">
        <f t="shared" si="7"/>
        <v>129992</v>
      </c>
      <c r="J41" s="10"/>
      <c r="K41" s="17"/>
      <c r="L41" s="81"/>
      <c r="M41" s="17"/>
      <c r="N41" s="82">
        <f t="shared" si="9"/>
        <v>1040</v>
      </c>
      <c r="O41" s="17"/>
      <c r="P41" s="87">
        <f t="shared" si="8"/>
        <v>655</v>
      </c>
      <c r="Q41" s="87">
        <f t="shared" si="10"/>
        <v>1695</v>
      </c>
      <c r="R41" s="2"/>
      <c r="S41" s="2"/>
      <c r="T41" s="2"/>
      <c r="U41" s="2"/>
      <c r="V41" s="2"/>
      <c r="W41" s="2"/>
      <c r="X41" s="2"/>
      <c r="Y41" s="3"/>
      <c r="Z41" s="3"/>
    </row>
    <row r="42" ht="13.5" customHeight="1">
      <c r="A42" s="3">
        <v>24.0</v>
      </c>
      <c r="B42" s="3"/>
      <c r="C42" s="74">
        <f t="shared" si="3"/>
        <v>12</v>
      </c>
      <c r="D42" s="75"/>
      <c r="E42" s="76">
        <f t="shared" si="4"/>
        <v>24</v>
      </c>
      <c r="F42" s="77">
        <f t="shared" si="5"/>
        <v>1</v>
      </c>
      <c r="G42" s="78" t="str">
        <f t="shared" si="2"/>
        <v>Dic</v>
      </c>
      <c r="H42" s="79">
        <f t="shared" si="6"/>
        <v>2027</v>
      </c>
      <c r="I42" s="80">
        <f t="shared" si="7"/>
        <v>128946</v>
      </c>
      <c r="J42" s="10"/>
      <c r="K42" s="17"/>
      <c r="L42" s="81"/>
      <c r="M42" s="17"/>
      <c r="N42" s="82">
        <f t="shared" si="9"/>
        <v>1046</v>
      </c>
      <c r="O42" s="17"/>
      <c r="P42" s="87">
        <f t="shared" si="8"/>
        <v>649</v>
      </c>
      <c r="Q42" s="87">
        <f t="shared" si="10"/>
        <v>1695</v>
      </c>
      <c r="R42" s="2"/>
      <c r="S42" s="2"/>
      <c r="T42" s="2"/>
      <c r="U42" s="2"/>
      <c r="V42" s="2"/>
      <c r="W42" s="2"/>
      <c r="X42" s="2"/>
      <c r="Y42" s="3"/>
      <c r="Z42" s="3"/>
    </row>
    <row r="43" ht="13.5" customHeight="1">
      <c r="A43" s="3">
        <v>25.0</v>
      </c>
      <c r="B43" s="3"/>
      <c r="C43" s="74">
        <f t="shared" si="3"/>
        <v>1</v>
      </c>
      <c r="D43" s="75"/>
      <c r="E43" s="76">
        <f t="shared" si="4"/>
        <v>25</v>
      </c>
      <c r="F43" s="77">
        <f t="shared" si="5"/>
        <v>1</v>
      </c>
      <c r="G43" s="78" t="str">
        <f t="shared" si="2"/>
        <v>Ene</v>
      </c>
      <c r="H43" s="79">
        <f t="shared" si="6"/>
        <v>2028</v>
      </c>
      <c r="I43" s="80">
        <f t="shared" si="7"/>
        <v>127895</v>
      </c>
      <c r="J43" s="10"/>
      <c r="K43" s="17"/>
      <c r="L43" s="81"/>
      <c r="M43" s="17"/>
      <c r="N43" s="82">
        <f t="shared" si="9"/>
        <v>1051</v>
      </c>
      <c r="O43" s="17"/>
      <c r="P43" s="87">
        <f t="shared" si="8"/>
        <v>644</v>
      </c>
      <c r="Q43" s="87">
        <f t="shared" si="10"/>
        <v>1695</v>
      </c>
      <c r="R43" s="2"/>
      <c r="S43" s="2"/>
      <c r="T43" s="2"/>
      <c r="U43" s="2"/>
      <c r="V43" s="2"/>
      <c r="W43" s="2"/>
      <c r="X43" s="2"/>
      <c r="Y43" s="3"/>
      <c r="Z43" s="3"/>
    </row>
    <row r="44" ht="13.5" customHeight="1">
      <c r="A44" s="3">
        <v>26.0</v>
      </c>
      <c r="B44" s="3"/>
      <c r="C44" s="74">
        <f t="shared" si="3"/>
        <v>2</v>
      </c>
      <c r="D44" s="75"/>
      <c r="E44" s="76">
        <f t="shared" si="4"/>
        <v>26</v>
      </c>
      <c r="F44" s="77">
        <f t="shared" si="5"/>
        <v>1</v>
      </c>
      <c r="G44" s="78" t="str">
        <f t="shared" si="2"/>
        <v>Feb</v>
      </c>
      <c r="H44" s="79">
        <f t="shared" si="6"/>
        <v>2028</v>
      </c>
      <c r="I44" s="80">
        <f t="shared" si="7"/>
        <v>126839</v>
      </c>
      <c r="J44" s="10"/>
      <c r="K44" s="17"/>
      <c r="L44" s="81"/>
      <c r="M44" s="17"/>
      <c r="N44" s="82">
        <f t="shared" si="9"/>
        <v>1056</v>
      </c>
      <c r="O44" s="17"/>
      <c r="P44" s="87">
        <f t="shared" si="8"/>
        <v>639</v>
      </c>
      <c r="Q44" s="87">
        <f t="shared" si="10"/>
        <v>1695</v>
      </c>
      <c r="R44" s="2"/>
      <c r="S44" s="2"/>
      <c r="T44" s="2"/>
      <c r="U44" s="2"/>
      <c r="V44" s="2"/>
      <c r="W44" s="2"/>
      <c r="X44" s="2"/>
      <c r="Y44" s="3"/>
      <c r="Z44" s="3"/>
    </row>
    <row r="45" ht="13.5" customHeight="1">
      <c r="A45" s="3">
        <v>27.0</v>
      </c>
      <c r="B45" s="3"/>
      <c r="C45" s="74">
        <f t="shared" si="3"/>
        <v>3</v>
      </c>
      <c r="D45" s="75"/>
      <c r="E45" s="76">
        <f t="shared" si="4"/>
        <v>27</v>
      </c>
      <c r="F45" s="77">
        <f t="shared" si="5"/>
        <v>1</v>
      </c>
      <c r="G45" s="78" t="str">
        <f t="shared" si="2"/>
        <v>Mar</v>
      </c>
      <c r="H45" s="79">
        <f t="shared" si="6"/>
        <v>2028</v>
      </c>
      <c r="I45" s="80">
        <f t="shared" si="7"/>
        <v>125778</v>
      </c>
      <c r="J45" s="10"/>
      <c r="K45" s="17"/>
      <c r="L45" s="81"/>
      <c r="M45" s="17"/>
      <c r="N45" s="82">
        <f t="shared" si="9"/>
        <v>1061</v>
      </c>
      <c r="O45" s="17"/>
      <c r="P45" s="87">
        <f t="shared" si="8"/>
        <v>634</v>
      </c>
      <c r="Q45" s="87">
        <f t="shared" si="10"/>
        <v>1695</v>
      </c>
      <c r="R45" s="2"/>
      <c r="S45" s="2"/>
      <c r="T45" s="2"/>
      <c r="U45" s="2"/>
      <c r="V45" s="2"/>
      <c r="W45" s="2"/>
      <c r="X45" s="2"/>
      <c r="Y45" s="3"/>
      <c r="Z45" s="3"/>
    </row>
    <row r="46" ht="13.5" customHeight="1">
      <c r="A46" s="3">
        <v>28.0</v>
      </c>
      <c r="B46" s="3"/>
      <c r="C46" s="74">
        <f t="shared" si="3"/>
        <v>4</v>
      </c>
      <c r="D46" s="75"/>
      <c r="E46" s="76">
        <f t="shared" si="4"/>
        <v>28</v>
      </c>
      <c r="F46" s="77">
        <f t="shared" si="5"/>
        <v>1</v>
      </c>
      <c r="G46" s="78" t="str">
        <f t="shared" si="2"/>
        <v>Abr</v>
      </c>
      <c r="H46" s="79">
        <f t="shared" si="6"/>
        <v>2028</v>
      </c>
      <c r="I46" s="80">
        <f t="shared" si="7"/>
        <v>124711</v>
      </c>
      <c r="J46" s="10"/>
      <c r="K46" s="17"/>
      <c r="L46" s="81"/>
      <c r="M46" s="17"/>
      <c r="N46" s="82">
        <f t="shared" si="9"/>
        <v>1067</v>
      </c>
      <c r="O46" s="17"/>
      <c r="P46" s="87">
        <f t="shared" si="8"/>
        <v>628</v>
      </c>
      <c r="Q46" s="87">
        <f t="shared" si="10"/>
        <v>1695</v>
      </c>
      <c r="R46" s="2"/>
      <c r="S46" s="2"/>
      <c r="T46" s="2"/>
      <c r="U46" s="2"/>
      <c r="V46" s="2"/>
      <c r="W46" s="2"/>
      <c r="X46" s="2"/>
      <c r="Y46" s="3"/>
      <c r="Z46" s="3"/>
    </row>
    <row r="47" ht="13.5" customHeight="1">
      <c r="A47" s="3">
        <v>29.0</v>
      </c>
      <c r="B47" s="3"/>
      <c r="C47" s="74">
        <f t="shared" si="3"/>
        <v>5</v>
      </c>
      <c r="D47" s="75"/>
      <c r="E47" s="76">
        <f t="shared" si="4"/>
        <v>29</v>
      </c>
      <c r="F47" s="77">
        <f t="shared" si="5"/>
        <v>1</v>
      </c>
      <c r="G47" s="78" t="str">
        <f t="shared" si="2"/>
        <v>May</v>
      </c>
      <c r="H47" s="79">
        <f t="shared" si="6"/>
        <v>2028</v>
      </c>
      <c r="I47" s="80">
        <f t="shared" si="7"/>
        <v>123639</v>
      </c>
      <c r="J47" s="10"/>
      <c r="K47" s="17"/>
      <c r="L47" s="81"/>
      <c r="M47" s="17"/>
      <c r="N47" s="82">
        <f t="shared" si="9"/>
        <v>1072</v>
      </c>
      <c r="O47" s="17"/>
      <c r="P47" s="87">
        <f t="shared" si="8"/>
        <v>623</v>
      </c>
      <c r="Q47" s="87">
        <f t="shared" si="10"/>
        <v>1695</v>
      </c>
      <c r="R47" s="2"/>
      <c r="S47" s="2"/>
      <c r="T47" s="2"/>
      <c r="U47" s="2"/>
      <c r="V47" s="2"/>
      <c r="W47" s="2"/>
      <c r="X47" s="2"/>
      <c r="Y47" s="3"/>
      <c r="Z47" s="3"/>
    </row>
    <row r="48" ht="13.5" customHeight="1">
      <c r="A48" s="3">
        <v>30.0</v>
      </c>
      <c r="B48" s="3"/>
      <c r="C48" s="74">
        <f t="shared" si="3"/>
        <v>6</v>
      </c>
      <c r="D48" s="75"/>
      <c r="E48" s="76">
        <f t="shared" si="4"/>
        <v>30</v>
      </c>
      <c r="F48" s="77">
        <f t="shared" si="5"/>
        <v>1</v>
      </c>
      <c r="G48" s="78" t="str">
        <f t="shared" si="2"/>
        <v>Jun</v>
      </c>
      <c r="H48" s="79">
        <f t="shared" si="6"/>
        <v>2028</v>
      </c>
      <c r="I48" s="80">
        <f t="shared" si="7"/>
        <v>122562</v>
      </c>
      <c r="J48" s="10"/>
      <c r="K48" s="17"/>
      <c r="L48" s="81"/>
      <c r="M48" s="17"/>
      <c r="N48" s="82">
        <f t="shared" si="9"/>
        <v>1077</v>
      </c>
      <c r="O48" s="17"/>
      <c r="P48" s="87">
        <f t="shared" si="8"/>
        <v>618</v>
      </c>
      <c r="Q48" s="87">
        <f t="shared" si="10"/>
        <v>1695</v>
      </c>
      <c r="R48" s="2"/>
      <c r="S48" s="2"/>
      <c r="T48" s="2"/>
      <c r="U48" s="2"/>
      <c r="V48" s="2"/>
      <c r="W48" s="2"/>
      <c r="X48" s="2"/>
      <c r="Y48" s="3"/>
      <c r="Z48" s="3"/>
    </row>
    <row r="49" ht="13.5" customHeight="1">
      <c r="A49" s="3">
        <v>31.0</v>
      </c>
      <c r="B49" s="3"/>
      <c r="C49" s="74">
        <f t="shared" si="3"/>
        <v>7</v>
      </c>
      <c r="D49" s="75"/>
      <c r="E49" s="76">
        <f t="shared" si="4"/>
        <v>31</v>
      </c>
      <c r="F49" s="77">
        <f t="shared" si="5"/>
        <v>1</v>
      </c>
      <c r="G49" s="78" t="str">
        <f t="shared" si="2"/>
        <v>Jul</v>
      </c>
      <c r="H49" s="79">
        <f t="shared" si="6"/>
        <v>2028</v>
      </c>
      <c r="I49" s="80">
        <f t="shared" si="7"/>
        <v>121479</v>
      </c>
      <c r="J49" s="10"/>
      <c r="K49" s="17"/>
      <c r="L49" s="81"/>
      <c r="M49" s="17"/>
      <c r="N49" s="82">
        <f t="shared" si="9"/>
        <v>1083</v>
      </c>
      <c r="O49" s="17"/>
      <c r="P49" s="87">
        <f t="shared" si="8"/>
        <v>612</v>
      </c>
      <c r="Q49" s="87">
        <f t="shared" si="10"/>
        <v>1695</v>
      </c>
      <c r="R49" s="2"/>
      <c r="S49" s="2"/>
      <c r="T49" s="2"/>
      <c r="U49" s="2"/>
      <c r="V49" s="2"/>
      <c r="W49" s="2"/>
      <c r="X49" s="2"/>
      <c r="Y49" s="3"/>
      <c r="Z49" s="3"/>
    </row>
    <row r="50" ht="13.5" customHeight="1">
      <c r="A50" s="3">
        <v>32.0</v>
      </c>
      <c r="B50" s="3"/>
      <c r="C50" s="74">
        <f t="shared" si="3"/>
        <v>8</v>
      </c>
      <c r="D50" s="75"/>
      <c r="E50" s="76">
        <f t="shared" si="4"/>
        <v>32</v>
      </c>
      <c r="F50" s="77">
        <f t="shared" si="5"/>
        <v>1</v>
      </c>
      <c r="G50" s="78" t="str">
        <f t="shared" si="2"/>
        <v>Ago</v>
      </c>
      <c r="H50" s="79">
        <f t="shared" si="6"/>
        <v>2028</v>
      </c>
      <c r="I50" s="80">
        <f t="shared" si="7"/>
        <v>120391</v>
      </c>
      <c r="J50" s="10"/>
      <c r="K50" s="17"/>
      <c r="L50" s="81"/>
      <c r="M50" s="17"/>
      <c r="N50" s="82">
        <f t="shared" si="9"/>
        <v>1088</v>
      </c>
      <c r="O50" s="17"/>
      <c r="P50" s="87">
        <f t="shared" si="8"/>
        <v>607</v>
      </c>
      <c r="Q50" s="87">
        <f t="shared" si="10"/>
        <v>1695</v>
      </c>
      <c r="R50" s="2"/>
      <c r="S50" s="2"/>
      <c r="T50" s="2"/>
      <c r="U50" s="2"/>
      <c r="V50" s="2"/>
      <c r="W50" s="2"/>
      <c r="X50" s="2"/>
      <c r="Y50" s="3"/>
      <c r="Z50" s="3"/>
    </row>
    <row r="51" ht="13.5" customHeight="1">
      <c r="A51" s="3">
        <v>33.0</v>
      </c>
      <c r="B51" s="3"/>
      <c r="C51" s="74">
        <f t="shared" si="3"/>
        <v>9</v>
      </c>
      <c r="D51" s="75"/>
      <c r="E51" s="76">
        <f t="shared" si="4"/>
        <v>33</v>
      </c>
      <c r="F51" s="77">
        <f t="shared" si="5"/>
        <v>1</v>
      </c>
      <c r="G51" s="78" t="str">
        <f t="shared" si="2"/>
        <v>Sep</v>
      </c>
      <c r="H51" s="79">
        <f t="shared" si="6"/>
        <v>2028</v>
      </c>
      <c r="I51" s="80">
        <f t="shared" si="7"/>
        <v>119297</v>
      </c>
      <c r="J51" s="10"/>
      <c r="K51" s="17"/>
      <c r="L51" s="81"/>
      <c r="M51" s="17"/>
      <c r="N51" s="82">
        <f t="shared" si="9"/>
        <v>1094</v>
      </c>
      <c r="O51" s="17"/>
      <c r="P51" s="87">
        <f t="shared" si="8"/>
        <v>601</v>
      </c>
      <c r="Q51" s="87">
        <f t="shared" si="10"/>
        <v>1695</v>
      </c>
      <c r="R51" s="2"/>
      <c r="S51" s="2"/>
      <c r="T51" s="2"/>
      <c r="U51" s="2"/>
      <c r="V51" s="2"/>
      <c r="W51" s="2"/>
      <c r="X51" s="2"/>
      <c r="Y51" s="3"/>
      <c r="Z51" s="3"/>
    </row>
    <row r="52" ht="13.5" customHeight="1">
      <c r="A52" s="3">
        <v>34.0</v>
      </c>
      <c r="B52" s="3"/>
      <c r="C52" s="74">
        <f t="shared" si="3"/>
        <v>10</v>
      </c>
      <c r="D52" s="75"/>
      <c r="E52" s="76">
        <f t="shared" si="4"/>
        <v>34</v>
      </c>
      <c r="F52" s="88">
        <f t="shared" si="5"/>
        <v>1</v>
      </c>
      <c r="G52" s="78" t="str">
        <f t="shared" si="2"/>
        <v>Oct</v>
      </c>
      <c r="H52" s="89">
        <f t="shared" si="6"/>
        <v>2028</v>
      </c>
      <c r="I52" s="80">
        <f t="shared" si="7"/>
        <v>118198</v>
      </c>
      <c r="J52" s="10"/>
      <c r="K52" s="17"/>
      <c r="L52" s="81"/>
      <c r="M52" s="17"/>
      <c r="N52" s="82">
        <f t="shared" si="9"/>
        <v>1099</v>
      </c>
      <c r="O52" s="17"/>
      <c r="P52" s="87">
        <f t="shared" si="8"/>
        <v>596</v>
      </c>
      <c r="Q52" s="87">
        <f t="shared" si="10"/>
        <v>1695</v>
      </c>
      <c r="R52" s="2"/>
      <c r="S52" s="2"/>
      <c r="T52" s="2"/>
      <c r="U52" s="2"/>
      <c r="V52" s="2"/>
      <c r="W52" s="2"/>
      <c r="X52" s="2"/>
      <c r="Y52" s="3"/>
      <c r="Z52" s="3"/>
    </row>
    <row r="53" ht="13.5" customHeight="1">
      <c r="A53" s="3">
        <v>35.0</v>
      </c>
      <c r="B53" s="3"/>
      <c r="C53" s="74">
        <f t="shared" si="3"/>
        <v>11</v>
      </c>
      <c r="D53" s="75"/>
      <c r="E53" s="76">
        <f t="shared" si="4"/>
        <v>35</v>
      </c>
      <c r="F53" s="77">
        <f t="shared" si="5"/>
        <v>1</v>
      </c>
      <c r="G53" s="78" t="str">
        <f t="shared" si="2"/>
        <v>Nov</v>
      </c>
      <c r="H53" s="79">
        <f t="shared" si="6"/>
        <v>2028</v>
      </c>
      <c r="I53" s="80">
        <f t="shared" si="7"/>
        <v>117093</v>
      </c>
      <c r="J53" s="10"/>
      <c r="K53" s="17"/>
      <c r="L53" s="81"/>
      <c r="M53" s="17"/>
      <c r="N53" s="82">
        <f t="shared" si="9"/>
        <v>1105</v>
      </c>
      <c r="O53" s="17"/>
      <c r="P53" s="87">
        <f t="shared" si="8"/>
        <v>590</v>
      </c>
      <c r="Q53" s="87">
        <f t="shared" si="10"/>
        <v>1695</v>
      </c>
      <c r="R53" s="2"/>
      <c r="S53" s="2"/>
      <c r="T53" s="2"/>
      <c r="U53" s="2"/>
      <c r="V53" s="2"/>
      <c r="W53" s="2"/>
      <c r="X53" s="2"/>
      <c r="Y53" s="3"/>
      <c r="Z53" s="3"/>
    </row>
    <row r="54" ht="13.5" customHeight="1">
      <c r="A54" s="3">
        <v>36.0</v>
      </c>
      <c r="B54" s="3"/>
      <c r="C54" s="74">
        <f t="shared" si="3"/>
        <v>12</v>
      </c>
      <c r="D54" s="75"/>
      <c r="E54" s="76">
        <f t="shared" si="4"/>
        <v>36</v>
      </c>
      <c r="F54" s="77">
        <f t="shared" si="5"/>
        <v>1</v>
      </c>
      <c r="G54" s="78" t="str">
        <f t="shared" si="2"/>
        <v>Dic</v>
      </c>
      <c r="H54" s="79">
        <f t="shared" si="6"/>
        <v>2028</v>
      </c>
      <c r="I54" s="80">
        <f t="shared" si="7"/>
        <v>115983</v>
      </c>
      <c r="J54" s="10"/>
      <c r="K54" s="17"/>
      <c r="L54" s="81"/>
      <c r="M54" s="17"/>
      <c r="N54" s="82">
        <f t="shared" si="9"/>
        <v>1110</v>
      </c>
      <c r="O54" s="17"/>
      <c r="P54" s="87">
        <f t="shared" si="8"/>
        <v>585</v>
      </c>
      <c r="Q54" s="87">
        <f t="shared" si="10"/>
        <v>1695</v>
      </c>
      <c r="R54" s="2"/>
      <c r="S54" s="2"/>
      <c r="T54" s="2"/>
      <c r="U54" s="2"/>
      <c r="V54" s="2"/>
      <c r="W54" s="2"/>
      <c r="X54" s="2"/>
      <c r="Y54" s="3"/>
      <c r="Z54" s="3"/>
    </row>
    <row r="55" ht="13.5" customHeight="1">
      <c r="A55" s="3">
        <v>37.0</v>
      </c>
      <c r="B55" s="3"/>
      <c r="C55" s="74">
        <f t="shared" si="3"/>
        <v>1</v>
      </c>
      <c r="D55" s="75"/>
      <c r="E55" s="76">
        <f t="shared" si="4"/>
        <v>37</v>
      </c>
      <c r="F55" s="77">
        <f t="shared" si="5"/>
        <v>1</v>
      </c>
      <c r="G55" s="78" t="str">
        <f t="shared" si="2"/>
        <v>Ene</v>
      </c>
      <c r="H55" s="79">
        <f t="shared" si="6"/>
        <v>2029</v>
      </c>
      <c r="I55" s="80">
        <f t="shared" si="7"/>
        <v>114867</v>
      </c>
      <c r="J55" s="10"/>
      <c r="K55" s="17"/>
      <c r="L55" s="81"/>
      <c r="M55" s="17"/>
      <c r="N55" s="82">
        <f t="shared" si="9"/>
        <v>1116</v>
      </c>
      <c r="O55" s="17"/>
      <c r="P55" s="87">
        <f t="shared" si="8"/>
        <v>579</v>
      </c>
      <c r="Q55" s="87">
        <f t="shared" si="10"/>
        <v>1695</v>
      </c>
      <c r="R55" s="2"/>
      <c r="S55" s="2"/>
      <c r="T55" s="2"/>
      <c r="U55" s="2"/>
      <c r="V55" s="2"/>
      <c r="W55" s="2"/>
      <c r="X55" s="2"/>
      <c r="Y55" s="3"/>
      <c r="Z55" s="3"/>
    </row>
    <row r="56" ht="13.5" customHeight="1">
      <c r="A56" s="3">
        <v>38.0</v>
      </c>
      <c r="B56" s="3"/>
      <c r="C56" s="74">
        <f t="shared" si="3"/>
        <v>2</v>
      </c>
      <c r="D56" s="75"/>
      <c r="E56" s="76">
        <f t="shared" si="4"/>
        <v>38</v>
      </c>
      <c r="F56" s="77">
        <f t="shared" si="5"/>
        <v>1</v>
      </c>
      <c r="G56" s="78" t="str">
        <f t="shared" si="2"/>
        <v>Feb</v>
      </c>
      <c r="H56" s="79">
        <f t="shared" si="6"/>
        <v>2029</v>
      </c>
      <c r="I56" s="80">
        <f t="shared" si="7"/>
        <v>113746</v>
      </c>
      <c r="J56" s="10"/>
      <c r="K56" s="17"/>
      <c r="L56" s="81"/>
      <c r="M56" s="17"/>
      <c r="N56" s="82">
        <f t="shared" si="9"/>
        <v>1121</v>
      </c>
      <c r="O56" s="17"/>
      <c r="P56" s="87">
        <f t="shared" si="8"/>
        <v>574</v>
      </c>
      <c r="Q56" s="87">
        <f t="shared" si="10"/>
        <v>1695</v>
      </c>
      <c r="R56" s="2"/>
      <c r="S56" s="2"/>
      <c r="T56" s="2"/>
      <c r="U56" s="2"/>
      <c r="V56" s="2"/>
      <c r="W56" s="2"/>
      <c r="X56" s="2"/>
      <c r="Y56" s="3"/>
      <c r="Z56" s="3"/>
    </row>
    <row r="57" ht="13.5" customHeight="1">
      <c r="A57" s="3">
        <v>39.0</v>
      </c>
      <c r="B57" s="3"/>
      <c r="C57" s="74">
        <f t="shared" si="3"/>
        <v>3</v>
      </c>
      <c r="D57" s="75"/>
      <c r="E57" s="76">
        <f t="shared" si="4"/>
        <v>39</v>
      </c>
      <c r="F57" s="77">
        <f t="shared" si="5"/>
        <v>1</v>
      </c>
      <c r="G57" s="78" t="str">
        <f t="shared" si="2"/>
        <v>Mar</v>
      </c>
      <c r="H57" s="79">
        <f t="shared" si="6"/>
        <v>2029</v>
      </c>
      <c r="I57" s="80">
        <f t="shared" si="7"/>
        <v>112619</v>
      </c>
      <c r="J57" s="10"/>
      <c r="K57" s="17"/>
      <c r="L57" s="81"/>
      <c r="M57" s="17"/>
      <c r="N57" s="82">
        <f t="shared" si="9"/>
        <v>1127</v>
      </c>
      <c r="O57" s="17"/>
      <c r="P57" s="87">
        <f t="shared" si="8"/>
        <v>568</v>
      </c>
      <c r="Q57" s="87">
        <f t="shared" si="10"/>
        <v>1695</v>
      </c>
      <c r="R57" s="2"/>
      <c r="S57" s="2"/>
      <c r="T57" s="2"/>
      <c r="U57" s="2"/>
      <c r="V57" s="2"/>
      <c r="W57" s="2"/>
      <c r="X57" s="2"/>
      <c r="Y57" s="3"/>
      <c r="Z57" s="3"/>
    </row>
    <row r="58" ht="13.5" customHeight="1">
      <c r="A58" s="3">
        <v>40.0</v>
      </c>
      <c r="B58" s="3"/>
      <c r="C58" s="74">
        <f t="shared" si="3"/>
        <v>4</v>
      </c>
      <c r="D58" s="75"/>
      <c r="E58" s="76">
        <f t="shared" si="4"/>
        <v>40</v>
      </c>
      <c r="F58" s="77">
        <f t="shared" si="5"/>
        <v>1</v>
      </c>
      <c r="G58" s="78" t="str">
        <f t="shared" si="2"/>
        <v>Abr</v>
      </c>
      <c r="H58" s="79">
        <f t="shared" si="6"/>
        <v>2029</v>
      </c>
      <c r="I58" s="80">
        <f t="shared" si="7"/>
        <v>111487</v>
      </c>
      <c r="J58" s="10"/>
      <c r="K58" s="17"/>
      <c r="L58" s="81"/>
      <c r="M58" s="17"/>
      <c r="N58" s="82">
        <f t="shared" si="9"/>
        <v>1132</v>
      </c>
      <c r="O58" s="17"/>
      <c r="P58" s="87">
        <f t="shared" si="8"/>
        <v>563</v>
      </c>
      <c r="Q58" s="87">
        <f t="shared" si="10"/>
        <v>1695</v>
      </c>
      <c r="R58" s="2"/>
      <c r="S58" s="2"/>
      <c r="T58" s="2"/>
      <c r="U58" s="2"/>
      <c r="V58" s="2"/>
      <c r="W58" s="2"/>
      <c r="X58" s="2"/>
      <c r="Y58" s="3"/>
      <c r="Z58" s="3"/>
    </row>
    <row r="59" ht="13.5" customHeight="1">
      <c r="A59" s="3">
        <v>41.0</v>
      </c>
      <c r="B59" s="3"/>
      <c r="C59" s="74">
        <f t="shared" si="3"/>
        <v>5</v>
      </c>
      <c r="D59" s="75"/>
      <c r="E59" s="76">
        <f t="shared" si="4"/>
        <v>41</v>
      </c>
      <c r="F59" s="77">
        <f t="shared" si="5"/>
        <v>1</v>
      </c>
      <c r="G59" s="78" t="str">
        <f t="shared" si="2"/>
        <v>May</v>
      </c>
      <c r="H59" s="79">
        <f t="shared" si="6"/>
        <v>2029</v>
      </c>
      <c r="I59" s="80">
        <f t="shared" si="7"/>
        <v>110349</v>
      </c>
      <c r="J59" s="10"/>
      <c r="K59" s="17"/>
      <c r="L59" s="81"/>
      <c r="M59" s="17"/>
      <c r="N59" s="82">
        <f t="shared" si="9"/>
        <v>1138</v>
      </c>
      <c r="O59" s="17"/>
      <c r="P59" s="87">
        <f t="shared" si="8"/>
        <v>557</v>
      </c>
      <c r="Q59" s="87">
        <f t="shared" si="10"/>
        <v>1695</v>
      </c>
      <c r="R59" s="2"/>
      <c r="S59" s="2"/>
      <c r="T59" s="2"/>
      <c r="U59" s="2"/>
      <c r="V59" s="2"/>
      <c r="W59" s="2"/>
      <c r="X59" s="2"/>
      <c r="Y59" s="3"/>
      <c r="Z59" s="3"/>
    </row>
    <row r="60" ht="13.5" customHeight="1">
      <c r="A60" s="3">
        <v>42.0</v>
      </c>
      <c r="B60" s="3"/>
      <c r="C60" s="74">
        <f t="shared" si="3"/>
        <v>6</v>
      </c>
      <c r="D60" s="75"/>
      <c r="E60" s="76">
        <f t="shared" si="4"/>
        <v>42</v>
      </c>
      <c r="F60" s="77">
        <f t="shared" si="5"/>
        <v>1</v>
      </c>
      <c r="G60" s="78" t="str">
        <f t="shared" si="2"/>
        <v>Jun</v>
      </c>
      <c r="H60" s="79">
        <f t="shared" si="6"/>
        <v>2029</v>
      </c>
      <c r="I60" s="80">
        <f t="shared" si="7"/>
        <v>109205</v>
      </c>
      <c r="J60" s="10"/>
      <c r="K60" s="17"/>
      <c r="L60" s="81"/>
      <c r="M60" s="17"/>
      <c r="N60" s="82">
        <f t="shared" si="9"/>
        <v>1144</v>
      </c>
      <c r="O60" s="17"/>
      <c r="P60" s="87">
        <f t="shared" si="8"/>
        <v>551</v>
      </c>
      <c r="Q60" s="87">
        <f t="shared" si="10"/>
        <v>1695</v>
      </c>
      <c r="R60" s="2"/>
      <c r="S60" s="2"/>
      <c r="T60" s="2"/>
      <c r="U60" s="2"/>
      <c r="V60" s="2"/>
      <c r="W60" s="2"/>
      <c r="X60" s="2"/>
      <c r="Y60" s="3"/>
      <c r="Z60" s="3"/>
    </row>
    <row r="61" ht="13.5" customHeight="1">
      <c r="A61" s="3">
        <v>43.0</v>
      </c>
      <c r="B61" s="3"/>
      <c r="C61" s="74">
        <f t="shared" si="3"/>
        <v>7</v>
      </c>
      <c r="D61" s="75"/>
      <c r="E61" s="76">
        <f t="shared" si="4"/>
        <v>43</v>
      </c>
      <c r="F61" s="77">
        <f t="shared" si="5"/>
        <v>1</v>
      </c>
      <c r="G61" s="78" t="str">
        <f t="shared" si="2"/>
        <v>Jul</v>
      </c>
      <c r="H61" s="79">
        <f t="shared" si="6"/>
        <v>2029</v>
      </c>
      <c r="I61" s="80">
        <f t="shared" si="7"/>
        <v>108056</v>
      </c>
      <c r="J61" s="10"/>
      <c r="K61" s="17"/>
      <c r="L61" s="81"/>
      <c r="M61" s="17"/>
      <c r="N61" s="82">
        <f t="shared" si="9"/>
        <v>1149</v>
      </c>
      <c r="O61" s="17"/>
      <c r="P61" s="87">
        <f t="shared" si="8"/>
        <v>546</v>
      </c>
      <c r="Q61" s="87">
        <f t="shared" si="10"/>
        <v>1695</v>
      </c>
      <c r="R61" s="2"/>
      <c r="S61" s="2"/>
      <c r="T61" s="2"/>
      <c r="U61" s="2"/>
      <c r="V61" s="2"/>
      <c r="W61" s="2"/>
      <c r="X61" s="2"/>
      <c r="Y61" s="3"/>
      <c r="Z61" s="3"/>
    </row>
    <row r="62" ht="13.5" customHeight="1">
      <c r="A62" s="3">
        <v>44.0</v>
      </c>
      <c r="B62" s="3"/>
      <c r="C62" s="74">
        <f t="shared" si="3"/>
        <v>8</v>
      </c>
      <c r="D62" s="75"/>
      <c r="E62" s="76">
        <f t="shared" si="4"/>
        <v>44</v>
      </c>
      <c r="F62" s="77">
        <f t="shared" si="5"/>
        <v>1</v>
      </c>
      <c r="G62" s="78" t="str">
        <f t="shared" si="2"/>
        <v>Ago</v>
      </c>
      <c r="H62" s="79">
        <f t="shared" si="6"/>
        <v>2029</v>
      </c>
      <c r="I62" s="80">
        <f t="shared" si="7"/>
        <v>106901</v>
      </c>
      <c r="J62" s="10"/>
      <c r="K62" s="17"/>
      <c r="L62" s="81"/>
      <c r="M62" s="17"/>
      <c r="N62" s="82">
        <f t="shared" si="9"/>
        <v>1155</v>
      </c>
      <c r="O62" s="17"/>
      <c r="P62" s="87">
        <f t="shared" si="8"/>
        <v>540</v>
      </c>
      <c r="Q62" s="87">
        <f t="shared" si="10"/>
        <v>1695</v>
      </c>
      <c r="R62" s="2"/>
      <c r="S62" s="2"/>
      <c r="T62" s="2"/>
      <c r="U62" s="2"/>
      <c r="V62" s="2"/>
      <c r="W62" s="2"/>
      <c r="X62" s="2"/>
      <c r="Y62" s="3"/>
      <c r="Z62" s="3"/>
    </row>
    <row r="63" ht="13.5" customHeight="1">
      <c r="A63" s="3">
        <v>45.0</v>
      </c>
      <c r="B63" s="3"/>
      <c r="C63" s="74">
        <f t="shared" si="3"/>
        <v>9</v>
      </c>
      <c r="D63" s="75"/>
      <c r="E63" s="76">
        <f t="shared" si="4"/>
        <v>45</v>
      </c>
      <c r="F63" s="77">
        <f t="shared" si="5"/>
        <v>1</v>
      </c>
      <c r="G63" s="78" t="str">
        <f t="shared" si="2"/>
        <v>Sep</v>
      </c>
      <c r="H63" s="79">
        <f t="shared" si="6"/>
        <v>2029</v>
      </c>
      <c r="I63" s="80">
        <f t="shared" si="7"/>
        <v>105740</v>
      </c>
      <c r="J63" s="10"/>
      <c r="K63" s="17"/>
      <c r="L63" s="81"/>
      <c r="M63" s="17"/>
      <c r="N63" s="82">
        <f t="shared" si="9"/>
        <v>1161</v>
      </c>
      <c r="O63" s="17"/>
      <c r="P63" s="87">
        <f t="shared" si="8"/>
        <v>534</v>
      </c>
      <c r="Q63" s="87">
        <f t="shared" si="10"/>
        <v>1695</v>
      </c>
      <c r="R63" s="2"/>
      <c r="S63" s="2"/>
      <c r="T63" s="2"/>
      <c r="U63" s="2"/>
      <c r="V63" s="2"/>
      <c r="W63" s="2"/>
      <c r="X63" s="2"/>
      <c r="Y63" s="3"/>
      <c r="Z63" s="3"/>
    </row>
    <row r="64" ht="13.5" customHeight="1">
      <c r="A64" s="3">
        <v>46.0</v>
      </c>
      <c r="B64" s="3"/>
      <c r="C64" s="74">
        <f t="shared" si="3"/>
        <v>10</v>
      </c>
      <c r="D64" s="75"/>
      <c r="E64" s="76">
        <f t="shared" si="4"/>
        <v>46</v>
      </c>
      <c r="F64" s="88">
        <f t="shared" si="5"/>
        <v>1</v>
      </c>
      <c r="G64" s="78" t="str">
        <f t="shared" si="2"/>
        <v>Oct</v>
      </c>
      <c r="H64" s="89">
        <f t="shared" si="6"/>
        <v>2029</v>
      </c>
      <c r="I64" s="80">
        <f t="shared" si="7"/>
        <v>104573</v>
      </c>
      <c r="J64" s="10"/>
      <c r="K64" s="17"/>
      <c r="L64" s="81"/>
      <c r="M64" s="17"/>
      <c r="N64" s="82">
        <f t="shared" si="9"/>
        <v>1167</v>
      </c>
      <c r="O64" s="17"/>
      <c r="P64" s="87">
        <f t="shared" si="8"/>
        <v>528</v>
      </c>
      <c r="Q64" s="87">
        <f t="shared" si="10"/>
        <v>1695</v>
      </c>
      <c r="R64" s="2"/>
      <c r="S64" s="2"/>
      <c r="T64" s="2"/>
      <c r="U64" s="2"/>
      <c r="V64" s="2"/>
      <c r="W64" s="2"/>
      <c r="X64" s="2"/>
      <c r="Y64" s="3"/>
      <c r="Z64" s="3"/>
    </row>
    <row r="65" ht="13.5" customHeight="1">
      <c r="A65" s="3">
        <v>47.0</v>
      </c>
      <c r="B65" s="3"/>
      <c r="C65" s="74">
        <f t="shared" si="3"/>
        <v>11</v>
      </c>
      <c r="D65" s="75"/>
      <c r="E65" s="76">
        <f t="shared" si="4"/>
        <v>47</v>
      </c>
      <c r="F65" s="77">
        <f t="shared" si="5"/>
        <v>1</v>
      </c>
      <c r="G65" s="78" t="str">
        <f t="shared" si="2"/>
        <v>Nov</v>
      </c>
      <c r="H65" s="79">
        <f t="shared" si="6"/>
        <v>2029</v>
      </c>
      <c r="I65" s="80">
        <f t="shared" si="7"/>
        <v>103400</v>
      </c>
      <c r="J65" s="10"/>
      <c r="K65" s="17"/>
      <c r="L65" s="81"/>
      <c r="M65" s="17"/>
      <c r="N65" s="82">
        <f t="shared" si="9"/>
        <v>1173</v>
      </c>
      <c r="O65" s="17"/>
      <c r="P65" s="87">
        <f t="shared" si="8"/>
        <v>522</v>
      </c>
      <c r="Q65" s="87">
        <f t="shared" si="10"/>
        <v>1695</v>
      </c>
      <c r="R65" s="2"/>
      <c r="S65" s="2"/>
      <c r="T65" s="2"/>
      <c r="U65" s="2"/>
      <c r="V65" s="2"/>
      <c r="W65" s="2"/>
      <c r="X65" s="2"/>
      <c r="Y65" s="3"/>
      <c r="Z65" s="3"/>
    </row>
    <row r="66" ht="13.5" customHeight="1">
      <c r="A66" s="3">
        <v>48.0</v>
      </c>
      <c r="B66" s="3"/>
      <c r="C66" s="74">
        <f t="shared" si="3"/>
        <v>12</v>
      </c>
      <c r="D66" s="75"/>
      <c r="E66" s="76">
        <f t="shared" si="4"/>
        <v>48</v>
      </c>
      <c r="F66" s="77">
        <f t="shared" si="5"/>
        <v>1</v>
      </c>
      <c r="G66" s="78" t="str">
        <f t="shared" si="2"/>
        <v>Dic</v>
      </c>
      <c r="H66" s="79">
        <f t="shared" si="6"/>
        <v>2029</v>
      </c>
      <c r="I66" s="80">
        <f t="shared" si="7"/>
        <v>102222</v>
      </c>
      <c r="J66" s="10"/>
      <c r="K66" s="17"/>
      <c r="L66" s="81"/>
      <c r="M66" s="17"/>
      <c r="N66" s="82">
        <f t="shared" si="9"/>
        <v>1178</v>
      </c>
      <c r="O66" s="17"/>
      <c r="P66" s="87">
        <f t="shared" si="8"/>
        <v>517</v>
      </c>
      <c r="Q66" s="87">
        <f t="shared" si="10"/>
        <v>1695</v>
      </c>
      <c r="R66" s="2"/>
      <c r="S66" s="2"/>
      <c r="T66" s="2"/>
      <c r="U66" s="2"/>
      <c r="V66" s="2"/>
      <c r="W66" s="2"/>
      <c r="X66" s="2"/>
      <c r="Y66" s="3"/>
      <c r="Z66" s="3"/>
    </row>
    <row r="67" ht="13.5" customHeight="1">
      <c r="A67" s="3">
        <v>49.0</v>
      </c>
      <c r="B67" s="3"/>
      <c r="C67" s="74">
        <f t="shared" si="3"/>
        <v>1</v>
      </c>
      <c r="D67" s="75"/>
      <c r="E67" s="76">
        <f t="shared" si="4"/>
        <v>49</v>
      </c>
      <c r="F67" s="77">
        <f t="shared" si="5"/>
        <v>1</v>
      </c>
      <c r="G67" s="78" t="str">
        <f t="shared" si="2"/>
        <v>Ene</v>
      </c>
      <c r="H67" s="79">
        <f t="shared" si="6"/>
        <v>2030</v>
      </c>
      <c r="I67" s="80">
        <f t="shared" si="7"/>
        <v>101038</v>
      </c>
      <c r="J67" s="10"/>
      <c r="K67" s="17"/>
      <c r="L67" s="81"/>
      <c r="M67" s="17"/>
      <c r="N67" s="82">
        <f t="shared" si="9"/>
        <v>1184</v>
      </c>
      <c r="O67" s="17"/>
      <c r="P67" s="87">
        <f t="shared" si="8"/>
        <v>511</v>
      </c>
      <c r="Q67" s="87">
        <f t="shared" si="10"/>
        <v>1695</v>
      </c>
      <c r="R67" s="2"/>
      <c r="S67" s="2"/>
      <c r="T67" s="2"/>
      <c r="U67" s="2"/>
      <c r="V67" s="2"/>
      <c r="W67" s="2"/>
      <c r="X67" s="2"/>
      <c r="Y67" s="3"/>
      <c r="Z67" s="3"/>
    </row>
    <row r="68" ht="13.5" customHeight="1">
      <c r="A68" s="3">
        <v>50.0</v>
      </c>
      <c r="B68" s="3"/>
      <c r="C68" s="74">
        <f t="shared" si="3"/>
        <v>2</v>
      </c>
      <c r="D68" s="75"/>
      <c r="E68" s="76">
        <f t="shared" si="4"/>
        <v>50</v>
      </c>
      <c r="F68" s="77">
        <f t="shared" ref="F68:F74" si="11">IF(E68&gt;1,$F$18)</f>
        <v>1</v>
      </c>
      <c r="G68" s="78" t="str">
        <f t="shared" si="2"/>
        <v>Feb</v>
      </c>
      <c r="H68" s="79">
        <f t="shared" si="6"/>
        <v>2030</v>
      </c>
      <c r="I68" s="80">
        <f t="shared" si="7"/>
        <v>99848</v>
      </c>
      <c r="J68" s="10"/>
      <c r="K68" s="17"/>
      <c r="L68" s="81"/>
      <c r="M68" s="17"/>
      <c r="N68" s="82">
        <f t="shared" si="9"/>
        <v>1190</v>
      </c>
      <c r="O68" s="17"/>
      <c r="P68" s="87">
        <f t="shared" si="8"/>
        <v>505</v>
      </c>
      <c r="Q68" s="87">
        <f t="shared" si="10"/>
        <v>1695</v>
      </c>
      <c r="R68" s="2"/>
      <c r="S68" s="2"/>
      <c r="T68" s="2"/>
      <c r="U68" s="2"/>
      <c r="V68" s="2"/>
      <c r="W68" s="2"/>
      <c r="X68" s="2"/>
      <c r="Y68" s="3"/>
      <c r="Z68" s="3"/>
    </row>
    <row r="69" ht="13.5" customHeight="1">
      <c r="A69" s="3">
        <v>51.0</v>
      </c>
      <c r="B69" s="3"/>
      <c r="C69" s="74">
        <f t="shared" si="3"/>
        <v>3</v>
      </c>
      <c r="D69" s="75"/>
      <c r="E69" s="76">
        <f t="shared" si="4"/>
        <v>51</v>
      </c>
      <c r="F69" s="77">
        <f t="shared" si="11"/>
        <v>1</v>
      </c>
      <c r="G69" s="78" t="str">
        <f t="shared" si="2"/>
        <v>Mar</v>
      </c>
      <c r="H69" s="79">
        <f t="shared" si="6"/>
        <v>2030</v>
      </c>
      <c r="I69" s="80">
        <f t="shared" si="7"/>
        <v>98652</v>
      </c>
      <c r="J69" s="10"/>
      <c r="K69" s="17"/>
      <c r="L69" s="81"/>
      <c r="M69" s="17"/>
      <c r="N69" s="82">
        <f t="shared" si="9"/>
        <v>1196</v>
      </c>
      <c r="O69" s="17"/>
      <c r="P69" s="87">
        <f t="shared" si="8"/>
        <v>499</v>
      </c>
      <c r="Q69" s="87">
        <f t="shared" si="10"/>
        <v>1695</v>
      </c>
      <c r="R69" s="2"/>
      <c r="S69" s="2"/>
      <c r="T69" s="2"/>
      <c r="U69" s="2"/>
      <c r="V69" s="2"/>
      <c r="W69" s="2"/>
      <c r="X69" s="2"/>
      <c r="Y69" s="3"/>
      <c r="Z69" s="3"/>
    </row>
    <row r="70" ht="13.5" customHeight="1">
      <c r="A70" s="3">
        <v>52.0</v>
      </c>
      <c r="B70" s="3"/>
      <c r="C70" s="74">
        <f t="shared" si="3"/>
        <v>4</v>
      </c>
      <c r="D70" s="75"/>
      <c r="E70" s="76">
        <f t="shared" si="4"/>
        <v>52</v>
      </c>
      <c r="F70" s="77">
        <f t="shared" si="11"/>
        <v>1</v>
      </c>
      <c r="G70" s="78" t="str">
        <f t="shared" si="2"/>
        <v>Abr</v>
      </c>
      <c r="H70" s="79">
        <f t="shared" si="6"/>
        <v>2030</v>
      </c>
      <c r="I70" s="80">
        <f t="shared" si="7"/>
        <v>97450</v>
      </c>
      <c r="J70" s="10"/>
      <c r="K70" s="17"/>
      <c r="L70" s="90"/>
      <c r="M70" s="91"/>
      <c r="N70" s="82">
        <f t="shared" si="9"/>
        <v>1202</v>
      </c>
      <c r="O70" s="17"/>
      <c r="P70" s="87">
        <f t="shared" si="8"/>
        <v>493</v>
      </c>
      <c r="Q70" s="87">
        <f t="shared" si="10"/>
        <v>1695</v>
      </c>
      <c r="R70" s="2"/>
      <c r="S70" s="2"/>
      <c r="T70" s="2"/>
      <c r="U70" s="2"/>
      <c r="V70" s="2"/>
      <c r="W70" s="2"/>
      <c r="X70" s="2"/>
      <c r="Y70" s="3"/>
      <c r="Z70" s="3"/>
    </row>
    <row r="71" ht="13.5" customHeight="1">
      <c r="A71" s="3">
        <v>53.0</v>
      </c>
      <c r="B71" s="3"/>
      <c r="C71" s="74">
        <f t="shared" si="3"/>
        <v>5</v>
      </c>
      <c r="D71" s="75"/>
      <c r="E71" s="76">
        <f t="shared" si="4"/>
        <v>53</v>
      </c>
      <c r="F71" s="77">
        <f t="shared" si="11"/>
        <v>1</v>
      </c>
      <c r="G71" s="78" t="str">
        <f t="shared" si="2"/>
        <v>May</v>
      </c>
      <c r="H71" s="79">
        <f t="shared" si="6"/>
        <v>2030</v>
      </c>
      <c r="I71" s="80">
        <f t="shared" si="7"/>
        <v>96242</v>
      </c>
      <c r="J71" s="10"/>
      <c r="K71" s="17"/>
      <c r="L71" s="90"/>
      <c r="M71" s="91"/>
      <c r="N71" s="82">
        <f t="shared" si="9"/>
        <v>1208</v>
      </c>
      <c r="O71" s="17"/>
      <c r="P71" s="87">
        <f t="shared" si="8"/>
        <v>487</v>
      </c>
      <c r="Q71" s="87">
        <f t="shared" si="10"/>
        <v>1695</v>
      </c>
      <c r="R71" s="2"/>
      <c r="S71" s="2"/>
      <c r="T71" s="2"/>
      <c r="U71" s="2"/>
      <c r="V71" s="2"/>
      <c r="W71" s="2"/>
      <c r="X71" s="2"/>
      <c r="Y71" s="3"/>
      <c r="Z71" s="3"/>
    </row>
    <row r="72" ht="13.5" customHeight="1">
      <c r="A72" s="3">
        <v>54.0</v>
      </c>
      <c r="B72" s="3"/>
      <c r="C72" s="74">
        <f t="shared" si="3"/>
        <v>6</v>
      </c>
      <c r="D72" s="75"/>
      <c r="E72" s="76">
        <f t="shared" si="4"/>
        <v>54</v>
      </c>
      <c r="F72" s="77">
        <f t="shared" si="11"/>
        <v>1</v>
      </c>
      <c r="G72" s="78" t="str">
        <f t="shared" si="2"/>
        <v>Jun</v>
      </c>
      <c r="H72" s="79">
        <f t="shared" si="6"/>
        <v>2030</v>
      </c>
      <c r="I72" s="80">
        <f t="shared" si="7"/>
        <v>95028</v>
      </c>
      <c r="J72" s="10"/>
      <c r="K72" s="17"/>
      <c r="L72" s="90"/>
      <c r="M72" s="91"/>
      <c r="N72" s="82">
        <f t="shared" si="9"/>
        <v>1214</v>
      </c>
      <c r="O72" s="17"/>
      <c r="P72" s="87">
        <f t="shared" si="8"/>
        <v>481</v>
      </c>
      <c r="Q72" s="87">
        <f t="shared" si="10"/>
        <v>1695</v>
      </c>
      <c r="R72" s="2"/>
      <c r="S72" s="2"/>
      <c r="T72" s="2"/>
      <c r="U72" s="2"/>
      <c r="V72" s="2"/>
      <c r="W72" s="2"/>
      <c r="X72" s="2"/>
      <c r="Y72" s="3"/>
      <c r="Z72" s="3"/>
    </row>
    <row r="73" ht="13.5" customHeight="1">
      <c r="A73" s="3">
        <v>55.0</v>
      </c>
      <c r="B73" s="3"/>
      <c r="C73" s="74">
        <f t="shared" si="3"/>
        <v>7</v>
      </c>
      <c r="D73" s="75"/>
      <c r="E73" s="76">
        <f t="shared" si="4"/>
        <v>55</v>
      </c>
      <c r="F73" s="77">
        <f t="shared" si="11"/>
        <v>1</v>
      </c>
      <c r="G73" s="78" t="str">
        <f t="shared" si="2"/>
        <v>Jul</v>
      </c>
      <c r="H73" s="79">
        <f t="shared" si="6"/>
        <v>2030</v>
      </c>
      <c r="I73" s="80">
        <f t="shared" si="7"/>
        <v>93808</v>
      </c>
      <c r="J73" s="10"/>
      <c r="K73" s="17"/>
      <c r="L73" s="90"/>
      <c r="M73" s="91"/>
      <c r="N73" s="82">
        <f t="shared" si="9"/>
        <v>1220</v>
      </c>
      <c r="O73" s="17"/>
      <c r="P73" s="87">
        <f t="shared" si="8"/>
        <v>475</v>
      </c>
      <c r="Q73" s="87">
        <f t="shared" si="10"/>
        <v>1695</v>
      </c>
      <c r="R73" s="2"/>
      <c r="S73" s="2"/>
      <c r="T73" s="2"/>
      <c r="U73" s="2"/>
      <c r="V73" s="2"/>
      <c r="W73" s="2"/>
      <c r="X73" s="2"/>
      <c r="Y73" s="3"/>
      <c r="Z73" s="3"/>
    </row>
    <row r="74" ht="13.5" customHeight="1">
      <c r="A74" s="3">
        <v>56.0</v>
      </c>
      <c r="B74" s="3"/>
      <c r="C74" s="74">
        <f t="shared" si="3"/>
        <v>8</v>
      </c>
      <c r="D74" s="75"/>
      <c r="E74" s="76">
        <f t="shared" si="4"/>
        <v>56</v>
      </c>
      <c r="F74" s="77">
        <f t="shared" si="11"/>
        <v>1</v>
      </c>
      <c r="G74" s="78" t="str">
        <f t="shared" si="2"/>
        <v>Ago</v>
      </c>
      <c r="H74" s="79">
        <f t="shared" si="6"/>
        <v>2030</v>
      </c>
      <c r="I74" s="80">
        <f t="shared" si="7"/>
        <v>92582</v>
      </c>
      <c r="J74" s="10"/>
      <c r="K74" s="17"/>
      <c r="L74" s="90"/>
      <c r="M74" s="91"/>
      <c r="N74" s="82">
        <f t="shared" si="9"/>
        <v>1226</v>
      </c>
      <c r="O74" s="17"/>
      <c r="P74" s="87">
        <f t="shared" si="8"/>
        <v>469</v>
      </c>
      <c r="Q74" s="87">
        <f t="shared" si="10"/>
        <v>1695</v>
      </c>
      <c r="R74" s="2"/>
      <c r="S74" s="2"/>
      <c r="T74" s="2"/>
      <c r="U74" s="2"/>
      <c r="V74" s="2"/>
      <c r="W74" s="2"/>
      <c r="X74" s="2"/>
      <c r="Y74" s="3"/>
      <c r="Z74" s="3"/>
    </row>
    <row r="75" ht="13.5" customHeight="1">
      <c r="A75" s="3">
        <v>57.0</v>
      </c>
      <c r="B75" s="3"/>
      <c r="C75" s="74">
        <f t="shared" si="3"/>
        <v>9</v>
      </c>
      <c r="D75" s="75"/>
      <c r="E75" s="76">
        <f t="shared" si="4"/>
        <v>57</v>
      </c>
      <c r="F75" s="77">
        <f t="shared" ref="F75:F138" si="12">$F$18</f>
        <v>1</v>
      </c>
      <c r="G75" s="78" t="str">
        <f t="shared" si="2"/>
        <v>Sep</v>
      </c>
      <c r="H75" s="79">
        <f t="shared" si="6"/>
        <v>2030</v>
      </c>
      <c r="I75" s="80">
        <f t="shared" si="7"/>
        <v>91349</v>
      </c>
      <c r="J75" s="10"/>
      <c r="K75" s="17"/>
      <c r="L75" s="90"/>
      <c r="M75" s="91"/>
      <c r="N75" s="82">
        <f t="shared" si="9"/>
        <v>1233</v>
      </c>
      <c r="O75" s="17"/>
      <c r="P75" s="87">
        <f t="shared" si="8"/>
        <v>462</v>
      </c>
      <c r="Q75" s="87">
        <f t="shared" si="10"/>
        <v>1695</v>
      </c>
      <c r="R75" s="2"/>
      <c r="S75" s="2"/>
      <c r="T75" s="2"/>
      <c r="U75" s="2"/>
      <c r="V75" s="2"/>
      <c r="W75" s="2"/>
      <c r="X75" s="2"/>
      <c r="Y75" s="3"/>
      <c r="Z75" s="3"/>
    </row>
    <row r="76" ht="13.5" customHeight="1">
      <c r="A76" s="3">
        <v>58.0</v>
      </c>
      <c r="B76" s="3"/>
      <c r="C76" s="74">
        <f t="shared" si="3"/>
        <v>10</v>
      </c>
      <c r="D76" s="75"/>
      <c r="E76" s="76">
        <f t="shared" si="4"/>
        <v>58</v>
      </c>
      <c r="F76" s="88">
        <f t="shared" si="12"/>
        <v>1</v>
      </c>
      <c r="G76" s="78" t="str">
        <f t="shared" si="2"/>
        <v>Oct</v>
      </c>
      <c r="H76" s="89">
        <f t="shared" si="6"/>
        <v>2030</v>
      </c>
      <c r="I76" s="80">
        <f t="shared" si="7"/>
        <v>90110</v>
      </c>
      <c r="J76" s="10"/>
      <c r="K76" s="17"/>
      <c r="L76" s="90"/>
      <c r="M76" s="91"/>
      <c r="N76" s="82">
        <f t="shared" si="9"/>
        <v>1239</v>
      </c>
      <c r="O76" s="17"/>
      <c r="P76" s="87">
        <f t="shared" si="8"/>
        <v>456</v>
      </c>
      <c r="Q76" s="87">
        <f t="shared" si="10"/>
        <v>1695</v>
      </c>
      <c r="R76" s="2"/>
      <c r="S76" s="2"/>
      <c r="T76" s="2"/>
      <c r="U76" s="2"/>
      <c r="V76" s="2"/>
      <c r="W76" s="2"/>
      <c r="X76" s="2"/>
      <c r="Y76" s="3"/>
      <c r="Z76" s="3"/>
    </row>
    <row r="77" ht="13.5" customHeight="1">
      <c r="A77" s="3">
        <v>59.0</v>
      </c>
      <c r="B77" s="3"/>
      <c r="C77" s="74">
        <f t="shared" si="3"/>
        <v>11</v>
      </c>
      <c r="D77" s="75"/>
      <c r="E77" s="76">
        <f t="shared" si="4"/>
        <v>59</v>
      </c>
      <c r="F77" s="77">
        <f t="shared" si="12"/>
        <v>1</v>
      </c>
      <c r="G77" s="78" t="str">
        <f t="shared" si="2"/>
        <v>Nov</v>
      </c>
      <c r="H77" s="79">
        <f t="shared" si="6"/>
        <v>2030</v>
      </c>
      <c r="I77" s="80">
        <f t="shared" si="7"/>
        <v>88865</v>
      </c>
      <c r="J77" s="10"/>
      <c r="K77" s="17"/>
      <c r="L77" s="90"/>
      <c r="M77" s="91"/>
      <c r="N77" s="82">
        <f t="shared" si="9"/>
        <v>1245</v>
      </c>
      <c r="O77" s="17"/>
      <c r="P77" s="87">
        <f t="shared" si="8"/>
        <v>450</v>
      </c>
      <c r="Q77" s="87">
        <f t="shared" si="10"/>
        <v>1695</v>
      </c>
      <c r="R77" s="2"/>
      <c r="S77" s="2"/>
      <c r="T77" s="2"/>
      <c r="U77" s="2"/>
      <c r="V77" s="2"/>
      <c r="W77" s="2"/>
      <c r="X77" s="2"/>
      <c r="Y77" s="3"/>
      <c r="Z77" s="3"/>
    </row>
    <row r="78" ht="13.5" customHeight="1">
      <c r="A78" s="3">
        <v>60.0</v>
      </c>
      <c r="B78" s="3"/>
      <c r="C78" s="74">
        <f t="shared" si="3"/>
        <v>12</v>
      </c>
      <c r="D78" s="75"/>
      <c r="E78" s="76">
        <f t="shared" si="4"/>
        <v>60</v>
      </c>
      <c r="F78" s="77">
        <f t="shared" si="12"/>
        <v>1</v>
      </c>
      <c r="G78" s="78" t="str">
        <f t="shared" si="2"/>
        <v>Dic</v>
      </c>
      <c r="H78" s="79">
        <f t="shared" si="6"/>
        <v>2030</v>
      </c>
      <c r="I78" s="80">
        <f t="shared" si="7"/>
        <v>87614</v>
      </c>
      <c r="J78" s="10"/>
      <c r="K78" s="17"/>
      <c r="L78" s="81"/>
      <c r="M78" s="17"/>
      <c r="N78" s="82">
        <f t="shared" si="9"/>
        <v>1251</v>
      </c>
      <c r="O78" s="17"/>
      <c r="P78" s="87">
        <f t="shared" si="8"/>
        <v>444</v>
      </c>
      <c r="Q78" s="87">
        <f t="shared" si="10"/>
        <v>1695</v>
      </c>
      <c r="R78" s="2"/>
      <c r="S78" s="2"/>
      <c r="T78" s="2"/>
      <c r="U78" s="2"/>
      <c r="V78" s="2"/>
      <c r="W78" s="2"/>
      <c r="X78" s="2"/>
      <c r="Y78" s="3"/>
      <c r="Z78" s="3"/>
    </row>
    <row r="79" ht="13.5" customHeight="1">
      <c r="A79" s="3">
        <v>61.0</v>
      </c>
      <c r="B79" s="3"/>
      <c r="C79" s="74">
        <f t="shared" si="3"/>
        <v>1</v>
      </c>
      <c r="D79" s="75"/>
      <c r="E79" s="76">
        <f t="shared" si="4"/>
        <v>61</v>
      </c>
      <c r="F79" s="77">
        <f t="shared" si="12"/>
        <v>1</v>
      </c>
      <c r="G79" s="78" t="str">
        <f t="shared" si="2"/>
        <v>Ene</v>
      </c>
      <c r="H79" s="79">
        <f t="shared" si="6"/>
        <v>2031</v>
      </c>
      <c r="I79" s="80">
        <f t="shared" si="7"/>
        <v>86357</v>
      </c>
      <c r="J79" s="10"/>
      <c r="K79" s="17"/>
      <c r="L79" s="81"/>
      <c r="M79" s="17"/>
      <c r="N79" s="82">
        <f t="shared" si="9"/>
        <v>1257</v>
      </c>
      <c r="O79" s="17"/>
      <c r="P79" s="87">
        <f t="shared" si="8"/>
        <v>438</v>
      </c>
      <c r="Q79" s="87">
        <f t="shared" si="10"/>
        <v>1695</v>
      </c>
      <c r="R79" s="2"/>
      <c r="S79" s="2"/>
      <c r="T79" s="2"/>
      <c r="U79" s="2"/>
      <c r="V79" s="2"/>
      <c r="W79" s="2"/>
      <c r="X79" s="2"/>
      <c r="Y79" s="3"/>
      <c r="Z79" s="3"/>
    </row>
    <row r="80" ht="13.5" customHeight="1">
      <c r="A80" s="3">
        <v>62.0</v>
      </c>
      <c r="B80" s="3"/>
      <c r="C80" s="74">
        <f t="shared" si="3"/>
        <v>2</v>
      </c>
      <c r="D80" s="75"/>
      <c r="E80" s="76">
        <f t="shared" si="4"/>
        <v>62</v>
      </c>
      <c r="F80" s="77">
        <f t="shared" si="12"/>
        <v>1</v>
      </c>
      <c r="G80" s="78" t="str">
        <f t="shared" si="2"/>
        <v>Feb</v>
      </c>
      <c r="H80" s="79">
        <f t="shared" si="6"/>
        <v>2031</v>
      </c>
      <c r="I80" s="80">
        <f t="shared" si="7"/>
        <v>85093</v>
      </c>
      <c r="J80" s="10"/>
      <c r="K80" s="17"/>
      <c r="L80" s="81"/>
      <c r="M80" s="17"/>
      <c r="N80" s="82">
        <f t="shared" si="9"/>
        <v>1264</v>
      </c>
      <c r="O80" s="17"/>
      <c r="P80" s="87">
        <f t="shared" si="8"/>
        <v>431</v>
      </c>
      <c r="Q80" s="87">
        <f t="shared" si="10"/>
        <v>1695</v>
      </c>
      <c r="R80" s="2"/>
      <c r="S80" s="2"/>
      <c r="T80" s="2"/>
      <c r="U80" s="2"/>
      <c r="V80" s="2"/>
      <c r="W80" s="2"/>
      <c r="X80" s="2"/>
      <c r="Y80" s="3"/>
      <c r="Z80" s="3"/>
    </row>
    <row r="81" ht="13.5" customHeight="1">
      <c r="A81" s="3">
        <v>63.0</v>
      </c>
      <c r="B81" s="3"/>
      <c r="C81" s="74">
        <f t="shared" si="3"/>
        <v>3</v>
      </c>
      <c r="D81" s="75"/>
      <c r="E81" s="76">
        <f t="shared" si="4"/>
        <v>63</v>
      </c>
      <c r="F81" s="77">
        <f t="shared" si="12"/>
        <v>1</v>
      </c>
      <c r="G81" s="78" t="str">
        <f t="shared" si="2"/>
        <v>Mar</v>
      </c>
      <c r="H81" s="79">
        <f t="shared" si="6"/>
        <v>2031</v>
      </c>
      <c r="I81" s="80">
        <f t="shared" si="7"/>
        <v>83823</v>
      </c>
      <c r="J81" s="10"/>
      <c r="K81" s="17"/>
      <c r="L81" s="81"/>
      <c r="M81" s="17"/>
      <c r="N81" s="82">
        <f t="shared" si="9"/>
        <v>1270</v>
      </c>
      <c r="O81" s="17"/>
      <c r="P81" s="87">
        <f t="shared" si="8"/>
        <v>425</v>
      </c>
      <c r="Q81" s="87">
        <f t="shared" si="10"/>
        <v>1695</v>
      </c>
      <c r="R81" s="2"/>
      <c r="S81" s="2"/>
      <c r="T81" s="2"/>
      <c r="U81" s="2"/>
      <c r="V81" s="2"/>
      <c r="W81" s="2"/>
      <c r="X81" s="2"/>
      <c r="Y81" s="3"/>
      <c r="Z81" s="3"/>
    </row>
    <row r="82" ht="13.5" customHeight="1">
      <c r="A82" s="3">
        <v>64.0</v>
      </c>
      <c r="B82" s="3"/>
      <c r="C82" s="74">
        <f t="shared" si="3"/>
        <v>4</v>
      </c>
      <c r="D82" s="75"/>
      <c r="E82" s="76">
        <f t="shared" si="4"/>
        <v>64</v>
      </c>
      <c r="F82" s="77">
        <f t="shared" si="12"/>
        <v>1</v>
      </c>
      <c r="G82" s="78" t="str">
        <f t="shared" si="2"/>
        <v>Abr</v>
      </c>
      <c r="H82" s="79">
        <f t="shared" si="6"/>
        <v>2031</v>
      </c>
      <c r="I82" s="80">
        <f t="shared" si="7"/>
        <v>82547</v>
      </c>
      <c r="J82" s="10"/>
      <c r="K82" s="17"/>
      <c r="L82" s="81"/>
      <c r="M82" s="17"/>
      <c r="N82" s="82">
        <f t="shared" si="9"/>
        <v>1276</v>
      </c>
      <c r="O82" s="17"/>
      <c r="P82" s="87">
        <f t="shared" si="8"/>
        <v>419</v>
      </c>
      <c r="Q82" s="87">
        <f t="shared" si="10"/>
        <v>1695</v>
      </c>
      <c r="R82" s="2"/>
      <c r="S82" s="2"/>
      <c r="T82" s="2"/>
      <c r="U82" s="2"/>
      <c r="V82" s="2"/>
      <c r="W82" s="2"/>
      <c r="X82" s="2"/>
      <c r="Y82" s="3"/>
      <c r="Z82" s="3"/>
    </row>
    <row r="83" ht="13.5" customHeight="1">
      <c r="A83" s="3">
        <v>65.0</v>
      </c>
      <c r="B83" s="3"/>
      <c r="C83" s="74">
        <f t="shared" si="3"/>
        <v>5</v>
      </c>
      <c r="D83" s="75"/>
      <c r="E83" s="76">
        <f t="shared" si="4"/>
        <v>65</v>
      </c>
      <c r="F83" s="77">
        <f t="shared" si="12"/>
        <v>1</v>
      </c>
      <c r="G83" s="78" t="str">
        <f t="shared" si="2"/>
        <v>May</v>
      </c>
      <c r="H83" s="79">
        <f t="shared" si="6"/>
        <v>2031</v>
      </c>
      <c r="I83" s="80">
        <f t="shared" si="7"/>
        <v>81264</v>
      </c>
      <c r="J83" s="10"/>
      <c r="K83" s="17"/>
      <c r="L83" s="81"/>
      <c r="M83" s="17"/>
      <c r="N83" s="82">
        <f t="shared" si="9"/>
        <v>1283</v>
      </c>
      <c r="O83" s="17"/>
      <c r="P83" s="87">
        <f t="shared" si="8"/>
        <v>412</v>
      </c>
      <c r="Q83" s="87">
        <f t="shared" si="10"/>
        <v>1695</v>
      </c>
      <c r="R83" s="2"/>
      <c r="S83" s="2"/>
      <c r="T83" s="2"/>
      <c r="U83" s="2"/>
      <c r="V83" s="2"/>
      <c r="W83" s="2"/>
      <c r="X83" s="2"/>
      <c r="Y83" s="3"/>
      <c r="Z83" s="3"/>
    </row>
    <row r="84" ht="13.5" customHeight="1">
      <c r="A84" s="3">
        <v>66.0</v>
      </c>
      <c r="B84" s="3"/>
      <c r="C84" s="74">
        <f t="shared" si="3"/>
        <v>6</v>
      </c>
      <c r="D84" s="75"/>
      <c r="E84" s="76">
        <f t="shared" si="4"/>
        <v>66</v>
      </c>
      <c r="F84" s="77">
        <f t="shared" si="12"/>
        <v>1</v>
      </c>
      <c r="G84" s="78" t="str">
        <f t="shared" si="2"/>
        <v>Jun</v>
      </c>
      <c r="H84" s="79">
        <f t="shared" si="6"/>
        <v>2031</v>
      </c>
      <c r="I84" s="80">
        <f t="shared" si="7"/>
        <v>79975</v>
      </c>
      <c r="J84" s="10"/>
      <c r="K84" s="17"/>
      <c r="L84" s="81"/>
      <c r="M84" s="17"/>
      <c r="N84" s="82">
        <f t="shared" si="9"/>
        <v>1289</v>
      </c>
      <c r="O84" s="17"/>
      <c r="P84" s="87">
        <f t="shared" si="8"/>
        <v>406</v>
      </c>
      <c r="Q84" s="87">
        <f t="shared" si="10"/>
        <v>1695</v>
      </c>
      <c r="R84" s="2"/>
      <c r="S84" s="2"/>
      <c r="T84" s="2"/>
      <c r="U84" s="2"/>
      <c r="V84" s="2"/>
      <c r="W84" s="2"/>
      <c r="X84" s="2"/>
      <c r="Y84" s="3"/>
      <c r="Z84" s="3"/>
    </row>
    <row r="85" ht="13.5" customHeight="1">
      <c r="A85" s="3">
        <v>67.0</v>
      </c>
      <c r="B85" s="3"/>
      <c r="C85" s="74">
        <f t="shared" si="3"/>
        <v>7</v>
      </c>
      <c r="D85" s="75"/>
      <c r="E85" s="76">
        <f t="shared" si="4"/>
        <v>67</v>
      </c>
      <c r="F85" s="77">
        <f t="shared" si="12"/>
        <v>1</v>
      </c>
      <c r="G85" s="78" t="str">
        <f t="shared" si="2"/>
        <v>Jul</v>
      </c>
      <c r="H85" s="79">
        <f t="shared" si="6"/>
        <v>2031</v>
      </c>
      <c r="I85" s="80">
        <f t="shared" si="7"/>
        <v>78679</v>
      </c>
      <c r="J85" s="10"/>
      <c r="K85" s="17"/>
      <c r="L85" s="81"/>
      <c r="M85" s="17"/>
      <c r="N85" s="82">
        <f t="shared" si="9"/>
        <v>1296</v>
      </c>
      <c r="O85" s="17"/>
      <c r="P85" s="87">
        <f t="shared" si="8"/>
        <v>399</v>
      </c>
      <c r="Q85" s="87">
        <f t="shared" si="10"/>
        <v>1695</v>
      </c>
      <c r="R85" s="2"/>
      <c r="S85" s="2"/>
      <c r="T85" s="2"/>
      <c r="U85" s="2"/>
      <c r="V85" s="2"/>
      <c r="W85" s="2"/>
      <c r="X85" s="2"/>
      <c r="Y85" s="3"/>
      <c r="Z85" s="3"/>
    </row>
    <row r="86" ht="13.5" customHeight="1">
      <c r="A86" s="3">
        <v>68.0</v>
      </c>
      <c r="B86" s="3"/>
      <c r="C86" s="74">
        <f t="shared" si="3"/>
        <v>8</v>
      </c>
      <c r="D86" s="75"/>
      <c r="E86" s="76">
        <f t="shared" si="4"/>
        <v>68</v>
      </c>
      <c r="F86" s="77">
        <f t="shared" si="12"/>
        <v>1</v>
      </c>
      <c r="G86" s="78" t="str">
        <f t="shared" si="2"/>
        <v>Ago</v>
      </c>
      <c r="H86" s="79">
        <f t="shared" si="6"/>
        <v>2031</v>
      </c>
      <c r="I86" s="80">
        <f t="shared" si="7"/>
        <v>77377</v>
      </c>
      <c r="J86" s="10"/>
      <c r="K86" s="17"/>
      <c r="L86" s="81"/>
      <c r="M86" s="17"/>
      <c r="N86" s="82">
        <f t="shared" si="9"/>
        <v>1302</v>
      </c>
      <c r="O86" s="17"/>
      <c r="P86" s="87">
        <f t="shared" si="8"/>
        <v>393</v>
      </c>
      <c r="Q86" s="87">
        <f t="shared" si="10"/>
        <v>1695</v>
      </c>
      <c r="R86" s="2"/>
      <c r="S86" s="2"/>
      <c r="T86" s="2"/>
      <c r="U86" s="2"/>
      <c r="V86" s="2"/>
      <c r="W86" s="2"/>
      <c r="X86" s="2"/>
      <c r="Y86" s="3"/>
      <c r="Z86" s="3"/>
    </row>
    <row r="87" ht="13.5" customHeight="1">
      <c r="A87" s="3">
        <v>69.0</v>
      </c>
      <c r="B87" s="3"/>
      <c r="C87" s="74">
        <f t="shared" si="3"/>
        <v>9</v>
      </c>
      <c r="D87" s="75"/>
      <c r="E87" s="76">
        <f t="shared" si="4"/>
        <v>69</v>
      </c>
      <c r="F87" s="77">
        <f t="shared" si="12"/>
        <v>1</v>
      </c>
      <c r="G87" s="78" t="str">
        <f t="shared" si="2"/>
        <v>Sep</v>
      </c>
      <c r="H87" s="79">
        <f t="shared" si="6"/>
        <v>2031</v>
      </c>
      <c r="I87" s="80">
        <f t="shared" si="7"/>
        <v>76068</v>
      </c>
      <c r="J87" s="10"/>
      <c r="K87" s="17"/>
      <c r="L87" s="81"/>
      <c r="M87" s="17"/>
      <c r="N87" s="82">
        <f t="shared" si="9"/>
        <v>1309</v>
      </c>
      <c r="O87" s="17"/>
      <c r="P87" s="87">
        <f t="shared" si="8"/>
        <v>386</v>
      </c>
      <c r="Q87" s="87">
        <f t="shared" si="10"/>
        <v>1695</v>
      </c>
      <c r="R87" s="2"/>
      <c r="S87" s="2"/>
      <c r="T87" s="2"/>
      <c r="U87" s="2"/>
      <c r="V87" s="2"/>
      <c r="W87" s="2"/>
      <c r="X87" s="2"/>
      <c r="Y87" s="3"/>
      <c r="Z87" s="3"/>
    </row>
    <row r="88" ht="13.5" customHeight="1">
      <c r="A88" s="3">
        <v>70.0</v>
      </c>
      <c r="B88" s="3"/>
      <c r="C88" s="74">
        <f t="shared" si="3"/>
        <v>10</v>
      </c>
      <c r="D88" s="75"/>
      <c r="E88" s="76">
        <f t="shared" si="4"/>
        <v>70</v>
      </c>
      <c r="F88" s="88">
        <f t="shared" si="12"/>
        <v>1</v>
      </c>
      <c r="G88" s="78" t="str">
        <f t="shared" si="2"/>
        <v>Oct</v>
      </c>
      <c r="H88" s="89">
        <f t="shared" si="6"/>
        <v>2031</v>
      </c>
      <c r="I88" s="80">
        <f t="shared" si="7"/>
        <v>74753</v>
      </c>
      <c r="J88" s="10"/>
      <c r="K88" s="17"/>
      <c r="L88" s="81"/>
      <c r="M88" s="17"/>
      <c r="N88" s="82">
        <f t="shared" si="9"/>
        <v>1315</v>
      </c>
      <c r="O88" s="17"/>
      <c r="P88" s="87">
        <f t="shared" si="8"/>
        <v>380</v>
      </c>
      <c r="Q88" s="87">
        <f t="shared" si="10"/>
        <v>1695</v>
      </c>
      <c r="R88" s="2"/>
      <c r="S88" s="2"/>
      <c r="T88" s="2"/>
      <c r="U88" s="2"/>
      <c r="V88" s="2"/>
      <c r="W88" s="2"/>
      <c r="X88" s="2"/>
      <c r="Y88" s="3"/>
      <c r="Z88" s="3"/>
    </row>
    <row r="89" ht="13.5" customHeight="1">
      <c r="A89" s="3">
        <v>71.0</v>
      </c>
      <c r="B89" s="3"/>
      <c r="C89" s="74">
        <f t="shared" si="3"/>
        <v>11</v>
      </c>
      <c r="D89" s="75"/>
      <c r="E89" s="76">
        <f t="shared" si="4"/>
        <v>71</v>
      </c>
      <c r="F89" s="77">
        <f t="shared" si="12"/>
        <v>1</v>
      </c>
      <c r="G89" s="78" t="str">
        <f t="shared" si="2"/>
        <v>Nov</v>
      </c>
      <c r="H89" s="79">
        <f t="shared" si="6"/>
        <v>2031</v>
      </c>
      <c r="I89" s="80">
        <f t="shared" si="7"/>
        <v>73431</v>
      </c>
      <c r="J89" s="10"/>
      <c r="K89" s="17"/>
      <c r="L89" s="81"/>
      <c r="M89" s="17"/>
      <c r="N89" s="82">
        <f t="shared" si="9"/>
        <v>1322</v>
      </c>
      <c r="O89" s="17"/>
      <c r="P89" s="87">
        <f t="shared" si="8"/>
        <v>373</v>
      </c>
      <c r="Q89" s="87">
        <f t="shared" si="10"/>
        <v>1695</v>
      </c>
      <c r="R89" s="2"/>
      <c r="S89" s="2"/>
      <c r="T89" s="2"/>
      <c r="U89" s="2"/>
      <c r="V89" s="2"/>
      <c r="W89" s="2"/>
      <c r="X89" s="2"/>
      <c r="Y89" s="3"/>
      <c r="Z89" s="3"/>
    </row>
    <row r="90" ht="13.5" customHeight="1">
      <c r="A90" s="3">
        <v>72.0</v>
      </c>
      <c r="B90" s="3"/>
      <c r="C90" s="74">
        <f t="shared" si="3"/>
        <v>12</v>
      </c>
      <c r="D90" s="75"/>
      <c r="E90" s="76">
        <f t="shared" si="4"/>
        <v>72</v>
      </c>
      <c r="F90" s="77">
        <f t="shared" si="12"/>
        <v>1</v>
      </c>
      <c r="G90" s="78" t="str">
        <f t="shared" si="2"/>
        <v>Dic</v>
      </c>
      <c r="H90" s="79">
        <f t="shared" si="6"/>
        <v>2031</v>
      </c>
      <c r="I90" s="80">
        <f t="shared" si="7"/>
        <v>72103</v>
      </c>
      <c r="J90" s="10"/>
      <c r="K90" s="17"/>
      <c r="L90" s="81"/>
      <c r="M90" s="17"/>
      <c r="N90" s="82">
        <f t="shared" si="9"/>
        <v>1328</v>
      </c>
      <c r="O90" s="17"/>
      <c r="P90" s="87">
        <f t="shared" si="8"/>
        <v>367</v>
      </c>
      <c r="Q90" s="87">
        <f t="shared" si="10"/>
        <v>1695</v>
      </c>
      <c r="R90" s="2"/>
      <c r="S90" s="2"/>
      <c r="T90" s="2"/>
      <c r="U90" s="2"/>
      <c r="V90" s="2"/>
      <c r="W90" s="2"/>
      <c r="X90" s="2"/>
      <c r="Y90" s="3"/>
      <c r="Z90" s="3"/>
    </row>
    <row r="91" ht="13.5" customHeight="1">
      <c r="A91" s="3">
        <v>73.0</v>
      </c>
      <c r="B91" s="3"/>
      <c r="C91" s="74">
        <f t="shared" si="3"/>
        <v>1</v>
      </c>
      <c r="D91" s="75"/>
      <c r="E91" s="76">
        <f t="shared" si="4"/>
        <v>73</v>
      </c>
      <c r="F91" s="77">
        <f t="shared" si="12"/>
        <v>1</v>
      </c>
      <c r="G91" s="78" t="str">
        <f t="shared" si="2"/>
        <v>Ene</v>
      </c>
      <c r="H91" s="79">
        <f t="shared" si="6"/>
        <v>2032</v>
      </c>
      <c r="I91" s="80">
        <f t="shared" si="7"/>
        <v>70768</v>
      </c>
      <c r="J91" s="10"/>
      <c r="K91" s="17"/>
      <c r="L91" s="81"/>
      <c r="M91" s="17"/>
      <c r="N91" s="82">
        <f t="shared" si="9"/>
        <v>1335</v>
      </c>
      <c r="O91" s="17"/>
      <c r="P91" s="87">
        <f t="shared" si="8"/>
        <v>360</v>
      </c>
      <c r="Q91" s="87">
        <f t="shared" si="10"/>
        <v>1695</v>
      </c>
      <c r="R91" s="2"/>
      <c r="S91" s="2"/>
      <c r="T91" s="2"/>
      <c r="U91" s="2"/>
      <c r="V91" s="2"/>
      <c r="W91" s="2"/>
      <c r="X91" s="2"/>
      <c r="Y91" s="3"/>
      <c r="Z91" s="3"/>
    </row>
    <row r="92" ht="13.5" customHeight="1">
      <c r="A92" s="3">
        <v>74.0</v>
      </c>
      <c r="B92" s="3"/>
      <c r="C92" s="74">
        <f t="shared" si="3"/>
        <v>2</v>
      </c>
      <c r="D92" s="75"/>
      <c r="E92" s="76">
        <f t="shared" si="4"/>
        <v>74</v>
      </c>
      <c r="F92" s="77">
        <f t="shared" si="12"/>
        <v>1</v>
      </c>
      <c r="G92" s="78" t="str">
        <f t="shared" si="2"/>
        <v>Feb</v>
      </c>
      <c r="H92" s="79">
        <f t="shared" si="6"/>
        <v>2032</v>
      </c>
      <c r="I92" s="80">
        <f t="shared" si="7"/>
        <v>69426</v>
      </c>
      <c r="J92" s="10"/>
      <c r="K92" s="17"/>
      <c r="L92" s="81"/>
      <c r="M92" s="17"/>
      <c r="N92" s="82">
        <f t="shared" si="9"/>
        <v>1342</v>
      </c>
      <c r="O92" s="17"/>
      <c r="P92" s="87">
        <f t="shared" si="8"/>
        <v>353</v>
      </c>
      <c r="Q92" s="87">
        <f t="shared" si="10"/>
        <v>1695</v>
      </c>
      <c r="R92" s="2"/>
      <c r="S92" s="2"/>
      <c r="T92" s="2"/>
      <c r="U92" s="2"/>
      <c r="V92" s="2"/>
      <c r="W92" s="2"/>
      <c r="X92" s="2"/>
      <c r="Y92" s="3"/>
      <c r="Z92" s="3"/>
    </row>
    <row r="93" ht="13.5" customHeight="1">
      <c r="A93" s="3">
        <v>75.0</v>
      </c>
      <c r="B93" s="3"/>
      <c r="C93" s="74">
        <f t="shared" si="3"/>
        <v>3</v>
      </c>
      <c r="D93" s="75"/>
      <c r="E93" s="76">
        <f t="shared" si="4"/>
        <v>75</v>
      </c>
      <c r="F93" s="77">
        <f t="shared" si="12"/>
        <v>1</v>
      </c>
      <c r="G93" s="78" t="str">
        <f t="shared" si="2"/>
        <v>Mar</v>
      </c>
      <c r="H93" s="79">
        <f t="shared" si="6"/>
        <v>2032</v>
      </c>
      <c r="I93" s="80">
        <f t="shared" si="7"/>
        <v>68078</v>
      </c>
      <c r="J93" s="10"/>
      <c r="K93" s="17"/>
      <c r="L93" s="81"/>
      <c r="M93" s="17"/>
      <c r="N93" s="82">
        <f t="shared" si="9"/>
        <v>1348</v>
      </c>
      <c r="O93" s="17"/>
      <c r="P93" s="87">
        <f t="shared" si="8"/>
        <v>347</v>
      </c>
      <c r="Q93" s="87">
        <f t="shared" si="10"/>
        <v>1695</v>
      </c>
      <c r="R93" s="2"/>
      <c r="S93" s="2"/>
      <c r="T93" s="2"/>
      <c r="U93" s="2"/>
      <c r="V93" s="2"/>
      <c r="W93" s="2"/>
      <c r="X93" s="2"/>
      <c r="Y93" s="3"/>
      <c r="Z93" s="3"/>
    </row>
    <row r="94" ht="13.5" customHeight="1">
      <c r="A94" s="3">
        <v>76.0</v>
      </c>
      <c r="B94" s="3"/>
      <c r="C94" s="74">
        <f t="shared" si="3"/>
        <v>4</v>
      </c>
      <c r="D94" s="75"/>
      <c r="E94" s="76">
        <f t="shared" si="4"/>
        <v>76</v>
      </c>
      <c r="F94" s="77">
        <f t="shared" si="12"/>
        <v>1</v>
      </c>
      <c r="G94" s="78" t="str">
        <f t="shared" si="2"/>
        <v>Abr</v>
      </c>
      <c r="H94" s="79">
        <f t="shared" si="6"/>
        <v>2032</v>
      </c>
      <c r="I94" s="80">
        <f t="shared" si="7"/>
        <v>66723</v>
      </c>
      <c r="J94" s="10"/>
      <c r="K94" s="17"/>
      <c r="L94" s="81"/>
      <c r="M94" s="17"/>
      <c r="N94" s="82">
        <f t="shared" si="9"/>
        <v>1355</v>
      </c>
      <c r="O94" s="17"/>
      <c r="P94" s="87">
        <f t="shared" si="8"/>
        <v>340</v>
      </c>
      <c r="Q94" s="87">
        <f t="shared" si="10"/>
        <v>1695</v>
      </c>
      <c r="R94" s="2"/>
      <c r="S94" s="2"/>
      <c r="T94" s="2"/>
      <c r="U94" s="2"/>
      <c r="V94" s="2"/>
      <c r="W94" s="2"/>
      <c r="X94" s="2"/>
      <c r="Y94" s="3"/>
      <c r="Z94" s="3"/>
    </row>
    <row r="95" ht="13.5" customHeight="1">
      <c r="A95" s="3">
        <v>77.0</v>
      </c>
      <c r="B95" s="3"/>
      <c r="C95" s="74">
        <f t="shared" si="3"/>
        <v>5</v>
      </c>
      <c r="D95" s="75"/>
      <c r="E95" s="76">
        <f t="shared" si="4"/>
        <v>77</v>
      </c>
      <c r="F95" s="77">
        <f t="shared" si="12"/>
        <v>1</v>
      </c>
      <c r="G95" s="78" t="str">
        <f t="shared" si="2"/>
        <v>May</v>
      </c>
      <c r="H95" s="79">
        <f t="shared" si="6"/>
        <v>2032</v>
      </c>
      <c r="I95" s="80">
        <f t="shared" si="7"/>
        <v>65361</v>
      </c>
      <c r="J95" s="10"/>
      <c r="K95" s="17"/>
      <c r="L95" s="81"/>
      <c r="M95" s="17"/>
      <c r="N95" s="82">
        <f t="shared" si="9"/>
        <v>1362</v>
      </c>
      <c r="O95" s="17"/>
      <c r="P95" s="87">
        <f t="shared" si="8"/>
        <v>333</v>
      </c>
      <c r="Q95" s="87">
        <f t="shared" si="10"/>
        <v>1695</v>
      </c>
      <c r="R95" s="2"/>
      <c r="S95" s="2"/>
      <c r="T95" s="2"/>
      <c r="U95" s="2"/>
      <c r="V95" s="2"/>
      <c r="W95" s="2"/>
      <c r="X95" s="2"/>
      <c r="Y95" s="3"/>
      <c r="Z95" s="3"/>
    </row>
    <row r="96" ht="13.5" customHeight="1">
      <c r="A96" s="3">
        <v>78.0</v>
      </c>
      <c r="B96" s="3"/>
      <c r="C96" s="74">
        <f t="shared" si="3"/>
        <v>6</v>
      </c>
      <c r="D96" s="75"/>
      <c r="E96" s="76">
        <f t="shared" si="4"/>
        <v>78</v>
      </c>
      <c r="F96" s="77">
        <f t="shared" si="12"/>
        <v>1</v>
      </c>
      <c r="G96" s="78" t="str">
        <f t="shared" si="2"/>
        <v>Jun</v>
      </c>
      <c r="H96" s="79">
        <f t="shared" si="6"/>
        <v>2032</v>
      </c>
      <c r="I96" s="80">
        <f t="shared" si="7"/>
        <v>63992</v>
      </c>
      <c r="J96" s="10"/>
      <c r="K96" s="17"/>
      <c r="L96" s="81"/>
      <c r="M96" s="17"/>
      <c r="N96" s="82">
        <f t="shared" si="9"/>
        <v>1369</v>
      </c>
      <c r="O96" s="17"/>
      <c r="P96" s="87">
        <f t="shared" si="8"/>
        <v>326</v>
      </c>
      <c r="Q96" s="87">
        <f t="shared" si="10"/>
        <v>1695</v>
      </c>
      <c r="R96" s="2"/>
      <c r="S96" s="2"/>
      <c r="T96" s="2"/>
      <c r="U96" s="2"/>
      <c r="V96" s="2"/>
      <c r="W96" s="2"/>
      <c r="X96" s="2"/>
      <c r="Y96" s="3"/>
      <c r="Z96" s="3"/>
    </row>
    <row r="97" ht="13.5" customHeight="1">
      <c r="A97" s="3">
        <v>79.0</v>
      </c>
      <c r="B97" s="3"/>
      <c r="C97" s="74">
        <f t="shared" si="3"/>
        <v>7</v>
      </c>
      <c r="D97" s="75"/>
      <c r="E97" s="76">
        <f t="shared" si="4"/>
        <v>79</v>
      </c>
      <c r="F97" s="77">
        <f t="shared" si="12"/>
        <v>1</v>
      </c>
      <c r="G97" s="78" t="str">
        <f t="shared" si="2"/>
        <v>Jul</v>
      </c>
      <c r="H97" s="79">
        <f t="shared" si="6"/>
        <v>2032</v>
      </c>
      <c r="I97" s="80">
        <f t="shared" si="7"/>
        <v>62616</v>
      </c>
      <c r="J97" s="10"/>
      <c r="K97" s="17"/>
      <c r="L97" s="81"/>
      <c r="M97" s="17"/>
      <c r="N97" s="82">
        <f t="shared" si="9"/>
        <v>1376</v>
      </c>
      <c r="O97" s="17"/>
      <c r="P97" s="87">
        <f t="shared" si="8"/>
        <v>319</v>
      </c>
      <c r="Q97" s="87">
        <f t="shared" si="10"/>
        <v>1695</v>
      </c>
      <c r="R97" s="2"/>
      <c r="S97" s="2"/>
      <c r="T97" s="2"/>
      <c r="U97" s="2"/>
      <c r="V97" s="2"/>
      <c r="W97" s="2"/>
      <c r="X97" s="2"/>
      <c r="Y97" s="3"/>
      <c r="Z97" s="3"/>
    </row>
    <row r="98" ht="13.5" customHeight="1">
      <c r="A98" s="3">
        <v>80.0</v>
      </c>
      <c r="B98" s="3"/>
      <c r="C98" s="74">
        <f t="shared" si="3"/>
        <v>8</v>
      </c>
      <c r="D98" s="75"/>
      <c r="E98" s="76">
        <f t="shared" si="4"/>
        <v>80</v>
      </c>
      <c r="F98" s="77">
        <f t="shared" si="12"/>
        <v>1</v>
      </c>
      <c r="G98" s="78" t="str">
        <f t="shared" si="2"/>
        <v>Ago</v>
      </c>
      <c r="H98" s="79">
        <f t="shared" si="6"/>
        <v>2032</v>
      </c>
      <c r="I98" s="80">
        <f t="shared" si="7"/>
        <v>61234</v>
      </c>
      <c r="J98" s="10"/>
      <c r="K98" s="17"/>
      <c r="L98" s="81"/>
      <c r="M98" s="17"/>
      <c r="N98" s="82">
        <f t="shared" si="9"/>
        <v>1382</v>
      </c>
      <c r="O98" s="17"/>
      <c r="P98" s="87">
        <f t="shared" si="8"/>
        <v>313</v>
      </c>
      <c r="Q98" s="87">
        <f t="shared" si="10"/>
        <v>1695</v>
      </c>
      <c r="R98" s="2"/>
      <c r="S98" s="2"/>
      <c r="T98" s="2"/>
      <c r="U98" s="2"/>
      <c r="V98" s="2"/>
      <c r="W98" s="2"/>
      <c r="X98" s="2"/>
      <c r="Y98" s="3"/>
      <c r="Z98" s="3"/>
    </row>
    <row r="99" ht="13.5" customHeight="1">
      <c r="A99" s="3">
        <v>81.0</v>
      </c>
      <c r="B99" s="3"/>
      <c r="C99" s="74">
        <f t="shared" si="3"/>
        <v>9</v>
      </c>
      <c r="D99" s="75"/>
      <c r="E99" s="76">
        <f t="shared" si="4"/>
        <v>81</v>
      </c>
      <c r="F99" s="77">
        <f t="shared" si="12"/>
        <v>1</v>
      </c>
      <c r="G99" s="78" t="str">
        <f t="shared" si="2"/>
        <v>Sep</v>
      </c>
      <c r="H99" s="79">
        <f t="shared" si="6"/>
        <v>2032</v>
      </c>
      <c r="I99" s="80">
        <f t="shared" si="7"/>
        <v>59845</v>
      </c>
      <c r="J99" s="10"/>
      <c r="K99" s="17"/>
      <c r="L99" s="81"/>
      <c r="M99" s="17"/>
      <c r="N99" s="82">
        <f t="shared" si="9"/>
        <v>1389</v>
      </c>
      <c r="O99" s="17"/>
      <c r="P99" s="87">
        <f t="shared" si="8"/>
        <v>306</v>
      </c>
      <c r="Q99" s="87">
        <f t="shared" si="10"/>
        <v>1695</v>
      </c>
      <c r="R99" s="2"/>
      <c r="S99" s="2"/>
      <c r="T99" s="2"/>
      <c r="U99" s="2"/>
      <c r="V99" s="2"/>
      <c r="W99" s="2"/>
      <c r="X99" s="2"/>
      <c r="Y99" s="3"/>
      <c r="Z99" s="3"/>
    </row>
    <row r="100" ht="13.5" customHeight="1">
      <c r="A100" s="3">
        <v>82.0</v>
      </c>
      <c r="B100" s="3"/>
      <c r="C100" s="74">
        <f t="shared" si="3"/>
        <v>10</v>
      </c>
      <c r="D100" s="75"/>
      <c r="E100" s="76">
        <f t="shared" si="4"/>
        <v>82</v>
      </c>
      <c r="F100" s="88">
        <f t="shared" si="12"/>
        <v>1</v>
      </c>
      <c r="G100" s="78" t="str">
        <f t="shared" si="2"/>
        <v>Oct</v>
      </c>
      <c r="H100" s="89">
        <f t="shared" si="6"/>
        <v>2032</v>
      </c>
      <c r="I100" s="80">
        <f t="shared" si="7"/>
        <v>58449</v>
      </c>
      <c r="J100" s="10"/>
      <c r="K100" s="17"/>
      <c r="L100" s="81"/>
      <c r="M100" s="17"/>
      <c r="N100" s="82">
        <f t="shared" si="9"/>
        <v>1396</v>
      </c>
      <c r="O100" s="17"/>
      <c r="P100" s="87">
        <f t="shared" si="8"/>
        <v>299</v>
      </c>
      <c r="Q100" s="87">
        <f t="shared" si="10"/>
        <v>1695</v>
      </c>
      <c r="R100" s="2"/>
      <c r="S100" s="2"/>
      <c r="T100" s="2"/>
      <c r="U100" s="2"/>
      <c r="V100" s="2"/>
      <c r="W100" s="2"/>
      <c r="X100" s="2"/>
      <c r="Y100" s="3"/>
      <c r="Z100" s="3"/>
    </row>
    <row r="101" ht="13.5" customHeight="1">
      <c r="A101" s="3">
        <v>83.0</v>
      </c>
      <c r="B101" s="3"/>
      <c r="C101" s="74">
        <f t="shared" si="3"/>
        <v>11</v>
      </c>
      <c r="D101" s="75"/>
      <c r="E101" s="76">
        <f t="shared" si="4"/>
        <v>83</v>
      </c>
      <c r="F101" s="77">
        <f t="shared" si="12"/>
        <v>1</v>
      </c>
      <c r="G101" s="78" t="str">
        <f t="shared" si="2"/>
        <v>Nov</v>
      </c>
      <c r="H101" s="79">
        <f t="shared" si="6"/>
        <v>2032</v>
      </c>
      <c r="I101" s="80">
        <f t="shared" si="7"/>
        <v>57046</v>
      </c>
      <c r="J101" s="10"/>
      <c r="K101" s="17"/>
      <c r="L101" s="81"/>
      <c r="M101" s="17"/>
      <c r="N101" s="82">
        <f t="shared" si="9"/>
        <v>1403</v>
      </c>
      <c r="O101" s="17"/>
      <c r="P101" s="87">
        <f t="shared" si="8"/>
        <v>292</v>
      </c>
      <c r="Q101" s="87">
        <f t="shared" si="10"/>
        <v>1695</v>
      </c>
      <c r="R101" s="2"/>
      <c r="S101" s="2"/>
      <c r="T101" s="2"/>
      <c r="U101" s="2"/>
      <c r="V101" s="2"/>
      <c r="W101" s="2"/>
      <c r="X101" s="2"/>
      <c r="Y101" s="3"/>
      <c r="Z101" s="3"/>
    </row>
    <row r="102" ht="13.5" customHeight="1">
      <c r="A102" s="3">
        <v>84.0</v>
      </c>
      <c r="B102" s="3"/>
      <c r="C102" s="74">
        <f t="shared" si="3"/>
        <v>12</v>
      </c>
      <c r="D102" s="75"/>
      <c r="E102" s="76">
        <f t="shared" si="4"/>
        <v>84</v>
      </c>
      <c r="F102" s="77">
        <f t="shared" si="12"/>
        <v>1</v>
      </c>
      <c r="G102" s="78" t="str">
        <f t="shared" si="2"/>
        <v>Dic</v>
      </c>
      <c r="H102" s="79">
        <f t="shared" si="6"/>
        <v>2032</v>
      </c>
      <c r="I102" s="80">
        <f t="shared" si="7"/>
        <v>55636</v>
      </c>
      <c r="J102" s="10"/>
      <c r="K102" s="17"/>
      <c r="L102" s="81"/>
      <c r="M102" s="17"/>
      <c r="N102" s="82">
        <f t="shared" si="9"/>
        <v>1410</v>
      </c>
      <c r="O102" s="17"/>
      <c r="P102" s="87">
        <f t="shared" si="8"/>
        <v>285</v>
      </c>
      <c r="Q102" s="87">
        <f t="shared" si="10"/>
        <v>1695</v>
      </c>
      <c r="R102" s="2"/>
      <c r="S102" s="2"/>
      <c r="T102" s="2"/>
      <c r="U102" s="2"/>
      <c r="V102" s="2"/>
      <c r="W102" s="2"/>
      <c r="X102" s="2"/>
      <c r="Y102" s="3"/>
      <c r="Z102" s="3"/>
    </row>
    <row r="103" ht="13.5" customHeight="1">
      <c r="A103" s="3">
        <v>85.0</v>
      </c>
      <c r="B103" s="3"/>
      <c r="C103" s="74">
        <f t="shared" si="3"/>
        <v>1</v>
      </c>
      <c r="D103" s="75"/>
      <c r="E103" s="76">
        <f t="shared" si="4"/>
        <v>85</v>
      </c>
      <c r="F103" s="77">
        <f t="shared" si="12"/>
        <v>1</v>
      </c>
      <c r="G103" s="78" t="str">
        <f t="shared" si="2"/>
        <v>Ene</v>
      </c>
      <c r="H103" s="79">
        <f t="shared" si="6"/>
        <v>2033</v>
      </c>
      <c r="I103" s="80">
        <f t="shared" si="7"/>
        <v>54219</v>
      </c>
      <c r="J103" s="10"/>
      <c r="K103" s="17"/>
      <c r="L103" s="81"/>
      <c r="M103" s="17"/>
      <c r="N103" s="82">
        <f t="shared" si="9"/>
        <v>1417</v>
      </c>
      <c r="O103" s="17"/>
      <c r="P103" s="87">
        <f t="shared" si="8"/>
        <v>278</v>
      </c>
      <c r="Q103" s="87">
        <f t="shared" si="10"/>
        <v>1695</v>
      </c>
      <c r="R103" s="2"/>
      <c r="S103" s="2"/>
      <c r="T103" s="2"/>
      <c r="U103" s="2"/>
      <c r="V103" s="2"/>
      <c r="W103" s="2"/>
      <c r="X103" s="2"/>
      <c r="Y103" s="3"/>
      <c r="Z103" s="3"/>
    </row>
    <row r="104" ht="13.5" customHeight="1">
      <c r="A104" s="3">
        <v>86.0</v>
      </c>
      <c r="B104" s="3"/>
      <c r="C104" s="74">
        <f t="shared" si="3"/>
        <v>2</v>
      </c>
      <c r="D104" s="75"/>
      <c r="E104" s="76">
        <f t="shared" si="4"/>
        <v>86</v>
      </c>
      <c r="F104" s="77">
        <f t="shared" si="12"/>
        <v>1</v>
      </c>
      <c r="G104" s="78" t="str">
        <f t="shared" si="2"/>
        <v>Feb</v>
      </c>
      <c r="H104" s="79">
        <f t="shared" si="6"/>
        <v>2033</v>
      </c>
      <c r="I104" s="80">
        <f t="shared" si="7"/>
        <v>52795</v>
      </c>
      <c r="J104" s="10"/>
      <c r="K104" s="17"/>
      <c r="L104" s="81"/>
      <c r="M104" s="17"/>
      <c r="N104" s="82">
        <f t="shared" si="9"/>
        <v>1424</v>
      </c>
      <c r="O104" s="17"/>
      <c r="P104" s="87">
        <f t="shared" si="8"/>
        <v>271</v>
      </c>
      <c r="Q104" s="87">
        <f t="shared" si="10"/>
        <v>1695</v>
      </c>
      <c r="R104" s="2"/>
      <c r="S104" s="2"/>
      <c r="T104" s="2"/>
      <c r="U104" s="2"/>
      <c r="V104" s="2"/>
      <c r="W104" s="2"/>
      <c r="X104" s="2"/>
      <c r="Y104" s="3"/>
      <c r="Z104" s="3"/>
    </row>
    <row r="105" ht="13.5" customHeight="1">
      <c r="A105" s="3">
        <v>87.0</v>
      </c>
      <c r="B105" s="3"/>
      <c r="C105" s="74">
        <f t="shared" si="3"/>
        <v>3</v>
      </c>
      <c r="D105" s="75"/>
      <c r="E105" s="76">
        <f t="shared" si="4"/>
        <v>87</v>
      </c>
      <c r="F105" s="77">
        <f t="shared" si="12"/>
        <v>1</v>
      </c>
      <c r="G105" s="78" t="str">
        <f t="shared" si="2"/>
        <v>Mar</v>
      </c>
      <c r="H105" s="79">
        <f t="shared" si="6"/>
        <v>2033</v>
      </c>
      <c r="I105" s="80">
        <f t="shared" si="7"/>
        <v>51363</v>
      </c>
      <c r="J105" s="10"/>
      <c r="K105" s="17"/>
      <c r="L105" s="81"/>
      <c r="M105" s="17"/>
      <c r="N105" s="82">
        <f t="shared" si="9"/>
        <v>1432</v>
      </c>
      <c r="O105" s="17"/>
      <c r="P105" s="87">
        <f t="shared" si="8"/>
        <v>263</v>
      </c>
      <c r="Q105" s="87">
        <f t="shared" si="10"/>
        <v>1695</v>
      </c>
      <c r="R105" s="2"/>
      <c r="S105" s="2"/>
      <c r="T105" s="2"/>
      <c r="U105" s="2"/>
      <c r="V105" s="2"/>
      <c r="W105" s="2"/>
      <c r="X105" s="2"/>
      <c r="Y105" s="3"/>
      <c r="Z105" s="3"/>
    </row>
    <row r="106" ht="13.5" customHeight="1">
      <c r="A106" s="3">
        <v>88.0</v>
      </c>
      <c r="B106" s="3"/>
      <c r="C106" s="74">
        <f t="shared" si="3"/>
        <v>4</v>
      </c>
      <c r="D106" s="75"/>
      <c r="E106" s="76">
        <f t="shared" si="4"/>
        <v>88</v>
      </c>
      <c r="F106" s="77">
        <f t="shared" si="12"/>
        <v>1</v>
      </c>
      <c r="G106" s="78" t="str">
        <f t="shared" si="2"/>
        <v>Abr</v>
      </c>
      <c r="H106" s="79">
        <f t="shared" si="6"/>
        <v>2033</v>
      </c>
      <c r="I106" s="80">
        <f t="shared" si="7"/>
        <v>49924</v>
      </c>
      <c r="J106" s="10"/>
      <c r="K106" s="17"/>
      <c r="L106" s="81"/>
      <c r="M106" s="17"/>
      <c r="N106" s="82">
        <f t="shared" si="9"/>
        <v>1439</v>
      </c>
      <c r="O106" s="17"/>
      <c r="P106" s="87">
        <f t="shared" si="8"/>
        <v>256</v>
      </c>
      <c r="Q106" s="87">
        <f t="shared" si="10"/>
        <v>1695</v>
      </c>
      <c r="R106" s="2"/>
      <c r="S106" s="2"/>
      <c r="T106" s="2"/>
      <c r="U106" s="2"/>
      <c r="V106" s="2"/>
      <c r="W106" s="2"/>
      <c r="X106" s="2"/>
      <c r="Y106" s="3"/>
      <c r="Z106" s="3"/>
    </row>
    <row r="107" ht="13.5" customHeight="1">
      <c r="A107" s="3">
        <v>89.0</v>
      </c>
      <c r="B107" s="3"/>
      <c r="C107" s="74">
        <f t="shared" si="3"/>
        <v>5</v>
      </c>
      <c r="D107" s="75"/>
      <c r="E107" s="76">
        <f t="shared" si="4"/>
        <v>89</v>
      </c>
      <c r="F107" s="77">
        <f t="shared" si="12"/>
        <v>1</v>
      </c>
      <c r="G107" s="78" t="str">
        <f t="shared" si="2"/>
        <v>May</v>
      </c>
      <c r="H107" s="79">
        <f t="shared" si="6"/>
        <v>2033</v>
      </c>
      <c r="I107" s="80">
        <f t="shared" si="7"/>
        <v>48478</v>
      </c>
      <c r="J107" s="10"/>
      <c r="K107" s="17"/>
      <c r="L107" s="81"/>
      <c r="M107" s="17"/>
      <c r="N107" s="82">
        <f t="shared" si="9"/>
        <v>1446</v>
      </c>
      <c r="O107" s="17"/>
      <c r="P107" s="87">
        <f t="shared" si="8"/>
        <v>249</v>
      </c>
      <c r="Q107" s="87">
        <f t="shared" si="10"/>
        <v>1695</v>
      </c>
      <c r="R107" s="2"/>
      <c r="S107" s="2"/>
      <c r="T107" s="2"/>
      <c r="U107" s="2"/>
      <c r="V107" s="2"/>
      <c r="W107" s="2"/>
      <c r="X107" s="2"/>
      <c r="Y107" s="3"/>
      <c r="Z107" s="3"/>
    </row>
    <row r="108" ht="13.5" customHeight="1">
      <c r="A108" s="3">
        <v>90.0</v>
      </c>
      <c r="B108" s="3"/>
      <c r="C108" s="74">
        <f t="shared" si="3"/>
        <v>6</v>
      </c>
      <c r="D108" s="75"/>
      <c r="E108" s="76">
        <f t="shared" si="4"/>
        <v>90</v>
      </c>
      <c r="F108" s="77">
        <f t="shared" si="12"/>
        <v>1</v>
      </c>
      <c r="G108" s="78" t="str">
        <f t="shared" si="2"/>
        <v>Jun</v>
      </c>
      <c r="H108" s="79">
        <f t="shared" si="6"/>
        <v>2033</v>
      </c>
      <c r="I108" s="80">
        <f t="shared" si="7"/>
        <v>47025</v>
      </c>
      <c r="J108" s="10"/>
      <c r="K108" s="17"/>
      <c r="L108" s="81"/>
      <c r="M108" s="17"/>
      <c r="N108" s="82">
        <f t="shared" si="9"/>
        <v>1453</v>
      </c>
      <c r="O108" s="17"/>
      <c r="P108" s="87">
        <f t="shared" si="8"/>
        <v>242</v>
      </c>
      <c r="Q108" s="87">
        <f t="shared" si="10"/>
        <v>1695</v>
      </c>
      <c r="R108" s="2"/>
      <c r="S108" s="2"/>
      <c r="T108" s="2"/>
      <c r="U108" s="2"/>
      <c r="V108" s="2"/>
      <c r="W108" s="2"/>
      <c r="X108" s="2"/>
      <c r="Y108" s="3"/>
      <c r="Z108" s="3"/>
    </row>
    <row r="109" ht="13.5" customHeight="1">
      <c r="A109" s="3">
        <v>91.0</v>
      </c>
      <c r="B109" s="3"/>
      <c r="C109" s="74">
        <f t="shared" si="3"/>
        <v>7</v>
      </c>
      <c r="D109" s="75"/>
      <c r="E109" s="76">
        <f t="shared" si="4"/>
        <v>91</v>
      </c>
      <c r="F109" s="77">
        <f t="shared" si="12"/>
        <v>1</v>
      </c>
      <c r="G109" s="78" t="str">
        <f t="shared" si="2"/>
        <v>Jul</v>
      </c>
      <c r="H109" s="79">
        <f t="shared" si="6"/>
        <v>2033</v>
      </c>
      <c r="I109" s="80">
        <f t="shared" si="7"/>
        <v>45565</v>
      </c>
      <c r="J109" s="10"/>
      <c r="K109" s="17"/>
      <c r="L109" s="81"/>
      <c r="M109" s="17"/>
      <c r="N109" s="82">
        <f t="shared" si="9"/>
        <v>1460</v>
      </c>
      <c r="O109" s="17"/>
      <c r="P109" s="87">
        <f t="shared" si="8"/>
        <v>235</v>
      </c>
      <c r="Q109" s="87">
        <f t="shared" si="10"/>
        <v>1695</v>
      </c>
      <c r="R109" s="2"/>
      <c r="S109" s="2"/>
      <c r="T109" s="2"/>
      <c r="U109" s="2"/>
      <c r="V109" s="2"/>
      <c r="W109" s="2"/>
      <c r="X109" s="2"/>
      <c r="Y109" s="3"/>
      <c r="Z109" s="3"/>
    </row>
    <row r="110" ht="13.5" customHeight="1">
      <c r="A110" s="3">
        <v>92.0</v>
      </c>
      <c r="B110" s="3"/>
      <c r="C110" s="74">
        <f t="shared" si="3"/>
        <v>8</v>
      </c>
      <c r="D110" s="75"/>
      <c r="E110" s="76">
        <f t="shared" si="4"/>
        <v>92</v>
      </c>
      <c r="F110" s="77">
        <f t="shared" si="12"/>
        <v>1</v>
      </c>
      <c r="G110" s="78" t="str">
        <f t="shared" si="2"/>
        <v>Ago</v>
      </c>
      <c r="H110" s="79">
        <f t="shared" si="6"/>
        <v>2033</v>
      </c>
      <c r="I110" s="80">
        <f t="shared" si="7"/>
        <v>44097</v>
      </c>
      <c r="J110" s="10"/>
      <c r="K110" s="17"/>
      <c r="L110" s="81"/>
      <c r="M110" s="17"/>
      <c r="N110" s="82">
        <f t="shared" si="9"/>
        <v>1468</v>
      </c>
      <c r="O110" s="17"/>
      <c r="P110" s="87">
        <f t="shared" si="8"/>
        <v>227</v>
      </c>
      <c r="Q110" s="87">
        <f t="shared" si="10"/>
        <v>1695</v>
      </c>
      <c r="R110" s="2"/>
      <c r="S110" s="2"/>
      <c r="T110" s="2"/>
      <c r="U110" s="2"/>
      <c r="V110" s="2"/>
      <c r="W110" s="2"/>
      <c r="X110" s="2"/>
      <c r="Y110" s="3"/>
      <c r="Z110" s="3"/>
    </row>
    <row r="111" ht="13.5" customHeight="1">
      <c r="A111" s="3">
        <v>93.0</v>
      </c>
      <c r="B111" s="3"/>
      <c r="C111" s="74">
        <f t="shared" si="3"/>
        <v>9</v>
      </c>
      <c r="D111" s="75"/>
      <c r="E111" s="76">
        <f t="shared" si="4"/>
        <v>93</v>
      </c>
      <c r="F111" s="77">
        <f t="shared" si="12"/>
        <v>1</v>
      </c>
      <c r="G111" s="78" t="str">
        <f t="shared" si="2"/>
        <v>Sep</v>
      </c>
      <c r="H111" s="79">
        <f t="shared" si="6"/>
        <v>2033</v>
      </c>
      <c r="I111" s="80">
        <f t="shared" si="7"/>
        <v>42622</v>
      </c>
      <c r="J111" s="10"/>
      <c r="K111" s="17"/>
      <c r="L111" s="81"/>
      <c r="M111" s="17"/>
      <c r="N111" s="82">
        <f t="shared" si="9"/>
        <v>1475</v>
      </c>
      <c r="O111" s="17"/>
      <c r="P111" s="87">
        <f t="shared" si="8"/>
        <v>220</v>
      </c>
      <c r="Q111" s="87">
        <f t="shared" si="10"/>
        <v>1695</v>
      </c>
      <c r="R111" s="2"/>
      <c r="S111" s="2"/>
      <c r="T111" s="2"/>
      <c r="U111" s="2"/>
      <c r="V111" s="2"/>
      <c r="W111" s="2"/>
      <c r="X111" s="2"/>
      <c r="Y111" s="3"/>
      <c r="Z111" s="3"/>
    </row>
    <row r="112" ht="13.5" customHeight="1">
      <c r="A112" s="3">
        <v>94.0</v>
      </c>
      <c r="B112" s="3"/>
      <c r="C112" s="74">
        <f t="shared" si="3"/>
        <v>10</v>
      </c>
      <c r="D112" s="75"/>
      <c r="E112" s="76">
        <f t="shared" si="4"/>
        <v>94</v>
      </c>
      <c r="F112" s="88">
        <f t="shared" si="12"/>
        <v>1</v>
      </c>
      <c r="G112" s="78" t="str">
        <f t="shared" si="2"/>
        <v>Oct</v>
      </c>
      <c r="H112" s="89">
        <f t="shared" si="6"/>
        <v>2033</v>
      </c>
      <c r="I112" s="80">
        <f t="shared" si="7"/>
        <v>41140</v>
      </c>
      <c r="J112" s="10"/>
      <c r="K112" s="17"/>
      <c r="L112" s="81"/>
      <c r="M112" s="17"/>
      <c r="N112" s="82">
        <f t="shared" si="9"/>
        <v>1482</v>
      </c>
      <c r="O112" s="17"/>
      <c r="P112" s="87">
        <f t="shared" si="8"/>
        <v>213</v>
      </c>
      <c r="Q112" s="87">
        <f t="shared" si="10"/>
        <v>1695</v>
      </c>
      <c r="R112" s="2"/>
      <c r="S112" s="2"/>
      <c r="T112" s="2"/>
      <c r="U112" s="2"/>
      <c r="V112" s="2"/>
      <c r="W112" s="2"/>
      <c r="X112" s="2"/>
      <c r="Y112" s="3"/>
      <c r="Z112" s="3"/>
    </row>
    <row r="113" ht="13.5" customHeight="1">
      <c r="A113" s="3">
        <v>95.0</v>
      </c>
      <c r="B113" s="3"/>
      <c r="C113" s="74">
        <f t="shared" si="3"/>
        <v>11</v>
      </c>
      <c r="D113" s="75"/>
      <c r="E113" s="76">
        <f t="shared" si="4"/>
        <v>95</v>
      </c>
      <c r="F113" s="77">
        <f t="shared" si="12"/>
        <v>1</v>
      </c>
      <c r="G113" s="78" t="str">
        <f t="shared" si="2"/>
        <v>Nov</v>
      </c>
      <c r="H113" s="79">
        <f t="shared" si="6"/>
        <v>2033</v>
      </c>
      <c r="I113" s="80">
        <f t="shared" si="7"/>
        <v>39650</v>
      </c>
      <c r="J113" s="10"/>
      <c r="K113" s="17"/>
      <c r="L113" s="81"/>
      <c r="M113" s="17"/>
      <c r="N113" s="82">
        <f t="shared" si="9"/>
        <v>1490</v>
      </c>
      <c r="O113" s="17"/>
      <c r="P113" s="87">
        <f t="shared" si="8"/>
        <v>205</v>
      </c>
      <c r="Q113" s="87">
        <f t="shared" si="10"/>
        <v>1695</v>
      </c>
      <c r="R113" s="2"/>
      <c r="S113" s="2"/>
      <c r="T113" s="2"/>
      <c r="U113" s="2"/>
      <c r="V113" s="2"/>
      <c r="W113" s="2"/>
      <c r="X113" s="2"/>
      <c r="Y113" s="3"/>
      <c r="Z113" s="3"/>
    </row>
    <row r="114" ht="13.5" customHeight="1">
      <c r="A114" s="3">
        <v>96.0</v>
      </c>
      <c r="B114" s="3"/>
      <c r="C114" s="74">
        <f t="shared" si="3"/>
        <v>12</v>
      </c>
      <c r="D114" s="75"/>
      <c r="E114" s="76">
        <f t="shared" si="4"/>
        <v>96</v>
      </c>
      <c r="F114" s="77">
        <f t="shared" si="12"/>
        <v>1</v>
      </c>
      <c r="G114" s="78" t="str">
        <f t="shared" si="2"/>
        <v>Dic</v>
      </c>
      <c r="H114" s="79">
        <f t="shared" si="6"/>
        <v>2033</v>
      </c>
      <c r="I114" s="80">
        <f t="shared" si="7"/>
        <v>38153</v>
      </c>
      <c r="J114" s="10"/>
      <c r="K114" s="17"/>
      <c r="L114" s="81"/>
      <c r="M114" s="17"/>
      <c r="N114" s="82">
        <f t="shared" si="9"/>
        <v>1497</v>
      </c>
      <c r="O114" s="17"/>
      <c r="P114" s="87">
        <f t="shared" si="8"/>
        <v>198</v>
      </c>
      <c r="Q114" s="87">
        <f t="shared" si="10"/>
        <v>1695</v>
      </c>
      <c r="R114" s="2"/>
      <c r="S114" s="2"/>
      <c r="T114" s="2"/>
      <c r="U114" s="2"/>
      <c r="V114" s="2"/>
      <c r="W114" s="2"/>
      <c r="X114" s="2"/>
      <c r="Y114" s="3"/>
      <c r="Z114" s="3"/>
    </row>
    <row r="115" ht="13.5" customHeight="1">
      <c r="A115" s="3">
        <v>97.0</v>
      </c>
      <c r="B115" s="3"/>
      <c r="C115" s="74">
        <f t="shared" si="3"/>
        <v>1</v>
      </c>
      <c r="D115" s="75"/>
      <c r="E115" s="76">
        <f t="shared" si="4"/>
        <v>97</v>
      </c>
      <c r="F115" s="77">
        <f t="shared" si="12"/>
        <v>1</v>
      </c>
      <c r="G115" s="78" t="str">
        <f t="shared" si="2"/>
        <v>Ene</v>
      </c>
      <c r="H115" s="79">
        <f t="shared" si="6"/>
        <v>2034</v>
      </c>
      <c r="I115" s="80">
        <f t="shared" si="7"/>
        <v>36648</v>
      </c>
      <c r="J115" s="10"/>
      <c r="K115" s="17"/>
      <c r="L115" s="81"/>
      <c r="M115" s="17"/>
      <c r="N115" s="82">
        <f t="shared" si="9"/>
        <v>1505</v>
      </c>
      <c r="O115" s="17"/>
      <c r="P115" s="87">
        <f t="shared" si="8"/>
        <v>190</v>
      </c>
      <c r="Q115" s="87">
        <f t="shared" si="10"/>
        <v>1695</v>
      </c>
      <c r="R115" s="2"/>
      <c r="S115" s="2"/>
      <c r="T115" s="2"/>
      <c r="U115" s="2"/>
      <c r="V115" s="2"/>
      <c r="W115" s="2"/>
      <c r="X115" s="2"/>
      <c r="Y115" s="3"/>
      <c r="Z115" s="3"/>
    </row>
    <row r="116" ht="13.5" customHeight="1">
      <c r="A116" s="3">
        <v>98.0</v>
      </c>
      <c r="B116" s="3"/>
      <c r="C116" s="74">
        <f t="shared" si="3"/>
        <v>2</v>
      </c>
      <c r="D116" s="75"/>
      <c r="E116" s="76">
        <f t="shared" si="4"/>
        <v>98</v>
      </c>
      <c r="F116" s="77">
        <f t="shared" si="12"/>
        <v>1</v>
      </c>
      <c r="G116" s="78" t="str">
        <f t="shared" si="2"/>
        <v>Feb</v>
      </c>
      <c r="H116" s="79">
        <f t="shared" si="6"/>
        <v>2034</v>
      </c>
      <c r="I116" s="80">
        <f t="shared" si="7"/>
        <v>35136</v>
      </c>
      <c r="J116" s="10"/>
      <c r="K116" s="17"/>
      <c r="L116" s="81"/>
      <c r="M116" s="17"/>
      <c r="N116" s="82">
        <f t="shared" si="9"/>
        <v>1512</v>
      </c>
      <c r="O116" s="17"/>
      <c r="P116" s="87">
        <f t="shared" si="8"/>
        <v>183</v>
      </c>
      <c r="Q116" s="87">
        <f t="shared" si="10"/>
        <v>1695</v>
      </c>
      <c r="R116" s="2"/>
      <c r="S116" s="2"/>
      <c r="T116" s="2"/>
      <c r="U116" s="2"/>
      <c r="V116" s="2"/>
      <c r="W116" s="2"/>
      <c r="X116" s="2"/>
      <c r="Y116" s="3"/>
      <c r="Z116" s="3"/>
    </row>
    <row r="117" ht="13.5" customHeight="1">
      <c r="A117" s="3">
        <v>99.0</v>
      </c>
      <c r="B117" s="3"/>
      <c r="C117" s="74">
        <f t="shared" si="3"/>
        <v>3</v>
      </c>
      <c r="D117" s="75"/>
      <c r="E117" s="76">
        <f t="shared" si="4"/>
        <v>99</v>
      </c>
      <c r="F117" s="77">
        <f t="shared" si="12"/>
        <v>1</v>
      </c>
      <c r="G117" s="78" t="str">
        <f t="shared" si="2"/>
        <v>Mar</v>
      </c>
      <c r="H117" s="79">
        <f t="shared" si="6"/>
        <v>2034</v>
      </c>
      <c r="I117" s="80">
        <f t="shared" si="7"/>
        <v>33616</v>
      </c>
      <c r="J117" s="10"/>
      <c r="K117" s="17"/>
      <c r="L117" s="81"/>
      <c r="M117" s="17"/>
      <c r="N117" s="82">
        <f t="shared" si="9"/>
        <v>1520</v>
      </c>
      <c r="O117" s="17"/>
      <c r="P117" s="87">
        <f t="shared" si="8"/>
        <v>175</v>
      </c>
      <c r="Q117" s="87">
        <f t="shared" si="10"/>
        <v>1695</v>
      </c>
      <c r="R117" s="2"/>
      <c r="S117" s="2"/>
      <c r="T117" s="2"/>
      <c r="U117" s="2"/>
      <c r="V117" s="2"/>
      <c r="W117" s="2"/>
      <c r="X117" s="2"/>
      <c r="Y117" s="3"/>
      <c r="Z117" s="3"/>
    </row>
    <row r="118" ht="13.5" customHeight="1">
      <c r="A118" s="3">
        <v>100.0</v>
      </c>
      <c r="B118" s="3"/>
      <c r="C118" s="74">
        <f t="shared" si="3"/>
        <v>4</v>
      </c>
      <c r="D118" s="75"/>
      <c r="E118" s="76">
        <f t="shared" si="4"/>
        <v>100</v>
      </c>
      <c r="F118" s="77">
        <f t="shared" si="12"/>
        <v>1</v>
      </c>
      <c r="G118" s="78" t="str">
        <f t="shared" si="2"/>
        <v>Abr</v>
      </c>
      <c r="H118" s="79">
        <f t="shared" si="6"/>
        <v>2034</v>
      </c>
      <c r="I118" s="80">
        <f t="shared" si="7"/>
        <v>32089</v>
      </c>
      <c r="J118" s="10"/>
      <c r="K118" s="17"/>
      <c r="L118" s="81"/>
      <c r="M118" s="17"/>
      <c r="N118" s="82">
        <f t="shared" si="9"/>
        <v>1527</v>
      </c>
      <c r="O118" s="17"/>
      <c r="P118" s="87">
        <f t="shared" si="8"/>
        <v>168</v>
      </c>
      <c r="Q118" s="87">
        <f t="shared" si="10"/>
        <v>1695</v>
      </c>
      <c r="R118" s="2"/>
      <c r="S118" s="2"/>
      <c r="T118" s="2"/>
      <c r="U118" s="2"/>
      <c r="V118" s="2"/>
      <c r="W118" s="2"/>
      <c r="X118" s="2"/>
      <c r="Y118" s="3"/>
      <c r="Z118" s="3"/>
    </row>
    <row r="119" ht="13.5" customHeight="1">
      <c r="A119" s="3">
        <v>101.0</v>
      </c>
      <c r="B119" s="3"/>
      <c r="C119" s="74">
        <f t="shared" si="3"/>
        <v>5</v>
      </c>
      <c r="D119" s="75"/>
      <c r="E119" s="76">
        <f t="shared" si="4"/>
        <v>101</v>
      </c>
      <c r="F119" s="77">
        <f t="shared" si="12"/>
        <v>1</v>
      </c>
      <c r="G119" s="78" t="str">
        <f t="shared" si="2"/>
        <v>May</v>
      </c>
      <c r="H119" s="79">
        <f t="shared" si="6"/>
        <v>2034</v>
      </c>
      <c r="I119" s="80">
        <f t="shared" si="7"/>
        <v>30554</v>
      </c>
      <c r="J119" s="10"/>
      <c r="K119" s="17"/>
      <c r="L119" s="81"/>
      <c r="M119" s="17"/>
      <c r="N119" s="82">
        <f t="shared" si="9"/>
        <v>1535</v>
      </c>
      <c r="O119" s="17"/>
      <c r="P119" s="87">
        <f t="shared" si="8"/>
        <v>160</v>
      </c>
      <c r="Q119" s="87">
        <f t="shared" si="10"/>
        <v>1695</v>
      </c>
      <c r="R119" s="2"/>
      <c r="S119" s="2"/>
      <c r="T119" s="2"/>
      <c r="U119" s="2"/>
      <c r="V119" s="2"/>
      <c r="W119" s="2"/>
      <c r="X119" s="2"/>
      <c r="Y119" s="3"/>
      <c r="Z119" s="3"/>
    </row>
    <row r="120" ht="13.5" customHeight="1">
      <c r="A120" s="3">
        <v>102.0</v>
      </c>
      <c r="B120" s="3"/>
      <c r="C120" s="74">
        <f t="shared" si="3"/>
        <v>6</v>
      </c>
      <c r="D120" s="75"/>
      <c r="E120" s="76">
        <f t="shared" si="4"/>
        <v>102</v>
      </c>
      <c r="F120" s="77">
        <f t="shared" si="12"/>
        <v>1</v>
      </c>
      <c r="G120" s="78" t="str">
        <f t="shared" si="2"/>
        <v>Jun</v>
      </c>
      <c r="H120" s="79">
        <f t="shared" si="6"/>
        <v>2034</v>
      </c>
      <c r="I120" s="80">
        <f t="shared" si="7"/>
        <v>29011</v>
      </c>
      <c r="J120" s="10"/>
      <c r="K120" s="17"/>
      <c r="L120" s="81"/>
      <c r="M120" s="17"/>
      <c r="N120" s="82">
        <f t="shared" si="9"/>
        <v>1543</v>
      </c>
      <c r="O120" s="17"/>
      <c r="P120" s="87">
        <f t="shared" si="8"/>
        <v>152</v>
      </c>
      <c r="Q120" s="87">
        <f t="shared" si="10"/>
        <v>1695</v>
      </c>
      <c r="R120" s="2"/>
      <c r="S120" s="2"/>
      <c r="T120" s="2"/>
      <c r="U120" s="2"/>
      <c r="V120" s="2"/>
      <c r="W120" s="2"/>
      <c r="X120" s="2"/>
      <c r="Y120" s="3"/>
      <c r="Z120" s="3"/>
    </row>
    <row r="121" ht="13.5" customHeight="1">
      <c r="A121" s="3">
        <v>103.0</v>
      </c>
      <c r="B121" s="3"/>
      <c r="C121" s="74">
        <f t="shared" si="3"/>
        <v>7</v>
      </c>
      <c r="D121" s="75"/>
      <c r="E121" s="76">
        <f t="shared" si="4"/>
        <v>103</v>
      </c>
      <c r="F121" s="77">
        <f t="shared" si="12"/>
        <v>1</v>
      </c>
      <c r="G121" s="78" t="str">
        <f t="shared" si="2"/>
        <v>Jul</v>
      </c>
      <c r="H121" s="79">
        <f t="shared" si="6"/>
        <v>2034</v>
      </c>
      <c r="I121" s="80">
        <f t="shared" si="7"/>
        <v>27461</v>
      </c>
      <c r="J121" s="10"/>
      <c r="K121" s="17"/>
      <c r="L121" s="81"/>
      <c r="M121" s="17"/>
      <c r="N121" s="82">
        <f t="shared" si="9"/>
        <v>1550</v>
      </c>
      <c r="O121" s="17"/>
      <c r="P121" s="87">
        <f t="shared" si="8"/>
        <v>145</v>
      </c>
      <c r="Q121" s="87">
        <f t="shared" si="10"/>
        <v>1695</v>
      </c>
      <c r="R121" s="2"/>
      <c r="S121" s="2"/>
      <c r="T121" s="2"/>
      <c r="U121" s="2"/>
      <c r="V121" s="2"/>
      <c r="W121" s="2"/>
      <c r="X121" s="2"/>
      <c r="Y121" s="3"/>
      <c r="Z121" s="3"/>
    </row>
    <row r="122" ht="13.5" customHeight="1">
      <c r="A122" s="3">
        <v>104.0</v>
      </c>
      <c r="B122" s="3"/>
      <c r="C122" s="74">
        <f t="shared" si="3"/>
        <v>8</v>
      </c>
      <c r="D122" s="75"/>
      <c r="E122" s="76">
        <f t="shared" si="4"/>
        <v>104</v>
      </c>
      <c r="F122" s="77">
        <f t="shared" si="12"/>
        <v>1</v>
      </c>
      <c r="G122" s="78" t="str">
        <f t="shared" si="2"/>
        <v>Ago</v>
      </c>
      <c r="H122" s="79">
        <f t="shared" si="6"/>
        <v>2034</v>
      </c>
      <c r="I122" s="80">
        <f t="shared" si="7"/>
        <v>25903</v>
      </c>
      <c r="J122" s="10"/>
      <c r="K122" s="17"/>
      <c r="L122" s="81"/>
      <c r="M122" s="17"/>
      <c r="N122" s="82">
        <f t="shared" si="9"/>
        <v>1558</v>
      </c>
      <c r="O122" s="17"/>
      <c r="P122" s="87">
        <f t="shared" si="8"/>
        <v>137</v>
      </c>
      <c r="Q122" s="87">
        <f t="shared" si="10"/>
        <v>1695</v>
      </c>
      <c r="R122" s="2"/>
      <c r="S122" s="2"/>
      <c r="T122" s="2"/>
      <c r="U122" s="2"/>
      <c r="V122" s="2"/>
      <c r="W122" s="2"/>
      <c r="X122" s="2"/>
      <c r="Y122" s="3"/>
      <c r="Z122" s="3"/>
    </row>
    <row r="123" ht="13.5" customHeight="1">
      <c r="A123" s="3">
        <v>105.0</v>
      </c>
      <c r="B123" s="3"/>
      <c r="C123" s="74">
        <f t="shared" si="3"/>
        <v>9</v>
      </c>
      <c r="D123" s="75"/>
      <c r="E123" s="76">
        <f t="shared" si="4"/>
        <v>105</v>
      </c>
      <c r="F123" s="77">
        <f t="shared" si="12"/>
        <v>1</v>
      </c>
      <c r="G123" s="78" t="str">
        <f t="shared" si="2"/>
        <v>Sep</v>
      </c>
      <c r="H123" s="79">
        <f t="shared" si="6"/>
        <v>2034</v>
      </c>
      <c r="I123" s="80">
        <f t="shared" si="7"/>
        <v>24337</v>
      </c>
      <c r="J123" s="10"/>
      <c r="K123" s="17"/>
      <c r="L123" s="81"/>
      <c r="M123" s="17"/>
      <c r="N123" s="82">
        <f t="shared" si="9"/>
        <v>1566</v>
      </c>
      <c r="O123" s="17"/>
      <c r="P123" s="87">
        <f t="shared" si="8"/>
        <v>129</v>
      </c>
      <c r="Q123" s="87">
        <f t="shared" si="10"/>
        <v>1695</v>
      </c>
      <c r="R123" s="2"/>
      <c r="S123" s="2"/>
      <c r="T123" s="2"/>
      <c r="U123" s="2"/>
      <c r="V123" s="2"/>
      <c r="W123" s="2"/>
      <c r="X123" s="2"/>
      <c r="Y123" s="3"/>
      <c r="Z123" s="3"/>
    </row>
    <row r="124" ht="13.5" customHeight="1">
      <c r="A124" s="3">
        <v>106.0</v>
      </c>
      <c r="B124" s="3"/>
      <c r="C124" s="74">
        <f t="shared" si="3"/>
        <v>10</v>
      </c>
      <c r="D124" s="75"/>
      <c r="E124" s="76">
        <f t="shared" si="4"/>
        <v>106</v>
      </c>
      <c r="F124" s="88">
        <f t="shared" si="12"/>
        <v>1</v>
      </c>
      <c r="G124" s="78" t="str">
        <f t="shared" si="2"/>
        <v>Oct</v>
      </c>
      <c r="H124" s="89">
        <f t="shared" si="6"/>
        <v>2034</v>
      </c>
      <c r="I124" s="80">
        <f t="shared" si="7"/>
        <v>22763</v>
      </c>
      <c r="J124" s="10"/>
      <c r="K124" s="17"/>
      <c r="L124" s="81"/>
      <c r="M124" s="17"/>
      <c r="N124" s="82">
        <f t="shared" si="9"/>
        <v>1574</v>
      </c>
      <c r="O124" s="17"/>
      <c r="P124" s="87">
        <f t="shared" si="8"/>
        <v>121</v>
      </c>
      <c r="Q124" s="87">
        <f t="shared" si="10"/>
        <v>1695</v>
      </c>
      <c r="R124" s="2"/>
      <c r="S124" s="2"/>
      <c r="T124" s="2"/>
      <c r="U124" s="2"/>
      <c r="V124" s="2"/>
      <c r="W124" s="2"/>
      <c r="X124" s="2"/>
      <c r="Y124" s="3"/>
      <c r="Z124" s="3"/>
    </row>
    <row r="125" ht="13.5" customHeight="1">
      <c r="A125" s="3">
        <v>107.0</v>
      </c>
      <c r="B125" s="3"/>
      <c r="C125" s="74">
        <f t="shared" si="3"/>
        <v>11</v>
      </c>
      <c r="D125" s="75"/>
      <c r="E125" s="76">
        <f t="shared" si="4"/>
        <v>107</v>
      </c>
      <c r="F125" s="77">
        <f t="shared" si="12"/>
        <v>1</v>
      </c>
      <c r="G125" s="78" t="str">
        <f t="shared" si="2"/>
        <v>Nov</v>
      </c>
      <c r="H125" s="79">
        <f t="shared" si="6"/>
        <v>2034</v>
      </c>
      <c r="I125" s="80">
        <f t="shared" si="7"/>
        <v>21181</v>
      </c>
      <c r="J125" s="10"/>
      <c r="K125" s="17"/>
      <c r="L125" s="81"/>
      <c r="M125" s="17"/>
      <c r="N125" s="82">
        <f t="shared" si="9"/>
        <v>1582</v>
      </c>
      <c r="O125" s="17"/>
      <c r="P125" s="87">
        <f t="shared" si="8"/>
        <v>113</v>
      </c>
      <c r="Q125" s="87">
        <f t="shared" si="10"/>
        <v>1695</v>
      </c>
      <c r="R125" s="2"/>
      <c r="S125" s="2"/>
      <c r="T125" s="2"/>
      <c r="U125" s="2"/>
      <c r="V125" s="2"/>
      <c r="W125" s="2"/>
      <c r="X125" s="2"/>
      <c r="Y125" s="3"/>
      <c r="Z125" s="3"/>
    </row>
    <row r="126" ht="13.5" customHeight="1">
      <c r="A126" s="3">
        <v>108.0</v>
      </c>
      <c r="B126" s="3"/>
      <c r="C126" s="74">
        <f t="shared" si="3"/>
        <v>12</v>
      </c>
      <c r="D126" s="75"/>
      <c r="E126" s="76">
        <f t="shared" si="4"/>
        <v>108</v>
      </c>
      <c r="F126" s="77">
        <f t="shared" si="12"/>
        <v>1</v>
      </c>
      <c r="G126" s="78" t="str">
        <f t="shared" si="2"/>
        <v>Dic</v>
      </c>
      <c r="H126" s="79">
        <f t="shared" si="6"/>
        <v>2034</v>
      </c>
      <c r="I126" s="80">
        <f t="shared" si="7"/>
        <v>19591</v>
      </c>
      <c r="J126" s="10"/>
      <c r="K126" s="17"/>
      <c r="L126" s="81"/>
      <c r="M126" s="17"/>
      <c r="N126" s="82">
        <f t="shared" si="9"/>
        <v>1590</v>
      </c>
      <c r="O126" s="17"/>
      <c r="P126" s="87">
        <f t="shared" si="8"/>
        <v>105</v>
      </c>
      <c r="Q126" s="87">
        <f t="shared" si="10"/>
        <v>1695</v>
      </c>
      <c r="R126" s="2"/>
      <c r="S126" s="2"/>
      <c r="T126" s="2"/>
      <c r="U126" s="2"/>
      <c r="V126" s="2"/>
      <c r="W126" s="2"/>
      <c r="X126" s="2"/>
      <c r="Y126" s="3"/>
      <c r="Z126" s="3"/>
    </row>
    <row r="127" ht="13.5" customHeight="1">
      <c r="A127" s="3">
        <v>109.0</v>
      </c>
      <c r="B127" s="3"/>
      <c r="C127" s="74">
        <f t="shared" si="3"/>
        <v>1</v>
      </c>
      <c r="D127" s="75"/>
      <c r="E127" s="76">
        <f t="shared" si="4"/>
        <v>109</v>
      </c>
      <c r="F127" s="77">
        <f t="shared" si="12"/>
        <v>1</v>
      </c>
      <c r="G127" s="78" t="str">
        <f t="shared" si="2"/>
        <v>Ene</v>
      </c>
      <c r="H127" s="79">
        <f t="shared" si="6"/>
        <v>2035</v>
      </c>
      <c r="I127" s="80">
        <f t="shared" si="7"/>
        <v>17993</v>
      </c>
      <c r="J127" s="10"/>
      <c r="K127" s="17"/>
      <c r="L127" s="81"/>
      <c r="M127" s="17"/>
      <c r="N127" s="82">
        <f t="shared" si="9"/>
        <v>1598</v>
      </c>
      <c r="O127" s="17"/>
      <c r="P127" s="87">
        <f t="shared" si="8"/>
        <v>97</v>
      </c>
      <c r="Q127" s="87">
        <f t="shared" si="10"/>
        <v>1695</v>
      </c>
      <c r="R127" s="2"/>
      <c r="S127" s="2"/>
      <c r="T127" s="2"/>
      <c r="U127" s="2"/>
      <c r="V127" s="2"/>
      <c r="W127" s="2"/>
      <c r="X127" s="2"/>
      <c r="Y127" s="3"/>
      <c r="Z127" s="3"/>
    </row>
    <row r="128" ht="13.5" customHeight="1">
      <c r="A128" s="3">
        <v>110.0</v>
      </c>
      <c r="B128" s="3"/>
      <c r="C128" s="74">
        <f t="shared" si="3"/>
        <v>2</v>
      </c>
      <c r="D128" s="75"/>
      <c r="E128" s="76">
        <f t="shared" si="4"/>
        <v>110</v>
      </c>
      <c r="F128" s="77">
        <f t="shared" si="12"/>
        <v>1</v>
      </c>
      <c r="G128" s="78" t="str">
        <f t="shared" si="2"/>
        <v>Feb</v>
      </c>
      <c r="H128" s="79">
        <f t="shared" si="6"/>
        <v>2035</v>
      </c>
      <c r="I128" s="80">
        <f t="shared" si="7"/>
        <v>16387</v>
      </c>
      <c r="J128" s="10"/>
      <c r="K128" s="17"/>
      <c r="L128" s="81"/>
      <c r="M128" s="17"/>
      <c r="N128" s="82">
        <f t="shared" si="9"/>
        <v>1606</v>
      </c>
      <c r="O128" s="17"/>
      <c r="P128" s="87">
        <f t="shared" si="8"/>
        <v>89</v>
      </c>
      <c r="Q128" s="87">
        <f t="shared" si="10"/>
        <v>1695</v>
      </c>
      <c r="R128" s="2"/>
      <c r="S128" s="2"/>
      <c r="T128" s="2"/>
      <c r="U128" s="2"/>
      <c r="V128" s="2"/>
      <c r="W128" s="2"/>
      <c r="X128" s="2"/>
      <c r="Y128" s="3"/>
      <c r="Z128" s="3"/>
    </row>
    <row r="129" ht="13.5" customHeight="1">
      <c r="A129" s="3">
        <v>111.0</v>
      </c>
      <c r="B129" s="3"/>
      <c r="C129" s="74">
        <f t="shared" si="3"/>
        <v>3</v>
      </c>
      <c r="D129" s="75"/>
      <c r="E129" s="76">
        <f t="shared" si="4"/>
        <v>111</v>
      </c>
      <c r="F129" s="77">
        <f t="shared" si="12"/>
        <v>1</v>
      </c>
      <c r="G129" s="78" t="str">
        <f t="shared" si="2"/>
        <v>Mar</v>
      </c>
      <c r="H129" s="79">
        <f t="shared" si="6"/>
        <v>2035</v>
      </c>
      <c r="I129" s="80">
        <f t="shared" si="7"/>
        <v>14773</v>
      </c>
      <c r="J129" s="10"/>
      <c r="K129" s="17"/>
      <c r="L129" s="81"/>
      <c r="M129" s="17"/>
      <c r="N129" s="82">
        <f t="shared" si="9"/>
        <v>1614</v>
      </c>
      <c r="O129" s="17"/>
      <c r="P129" s="87">
        <f t="shared" si="8"/>
        <v>81</v>
      </c>
      <c r="Q129" s="87">
        <f t="shared" si="10"/>
        <v>1695</v>
      </c>
      <c r="R129" s="2"/>
      <c r="S129" s="2"/>
      <c r="T129" s="2"/>
      <c r="U129" s="2"/>
      <c r="V129" s="2"/>
      <c r="W129" s="2"/>
      <c r="X129" s="2"/>
      <c r="Y129" s="3"/>
      <c r="Z129" s="3"/>
    </row>
    <row r="130" ht="13.5" customHeight="1">
      <c r="A130" s="3">
        <v>112.0</v>
      </c>
      <c r="B130" s="3"/>
      <c r="C130" s="74">
        <f t="shared" si="3"/>
        <v>4</v>
      </c>
      <c r="D130" s="75"/>
      <c r="E130" s="76">
        <f t="shared" si="4"/>
        <v>112</v>
      </c>
      <c r="F130" s="77">
        <f t="shared" si="12"/>
        <v>1</v>
      </c>
      <c r="G130" s="78" t="str">
        <f t="shared" si="2"/>
        <v>Abr</v>
      </c>
      <c r="H130" s="79">
        <f t="shared" si="6"/>
        <v>2035</v>
      </c>
      <c r="I130" s="80">
        <f t="shared" si="7"/>
        <v>13151</v>
      </c>
      <c r="J130" s="10"/>
      <c r="K130" s="17"/>
      <c r="L130" s="81"/>
      <c r="M130" s="17"/>
      <c r="N130" s="82">
        <f t="shared" si="9"/>
        <v>1622</v>
      </c>
      <c r="O130" s="17"/>
      <c r="P130" s="87">
        <f t="shared" si="8"/>
        <v>73</v>
      </c>
      <c r="Q130" s="87">
        <f t="shared" si="10"/>
        <v>1695</v>
      </c>
      <c r="R130" s="2"/>
      <c r="S130" s="2"/>
      <c r="T130" s="2"/>
      <c r="U130" s="2"/>
      <c r="V130" s="2"/>
      <c r="W130" s="2"/>
      <c r="X130" s="2"/>
      <c r="Y130" s="3"/>
      <c r="Z130" s="3"/>
    </row>
    <row r="131" ht="13.5" customHeight="1">
      <c r="A131" s="3">
        <v>113.0</v>
      </c>
      <c r="B131" s="3"/>
      <c r="C131" s="74">
        <f t="shared" si="3"/>
        <v>5</v>
      </c>
      <c r="D131" s="75"/>
      <c r="E131" s="76">
        <f t="shared" si="4"/>
        <v>113</v>
      </c>
      <c r="F131" s="77">
        <f t="shared" si="12"/>
        <v>1</v>
      </c>
      <c r="G131" s="78" t="str">
        <f t="shared" si="2"/>
        <v>May</v>
      </c>
      <c r="H131" s="79">
        <f t="shared" si="6"/>
        <v>2035</v>
      </c>
      <c r="I131" s="80">
        <f t="shared" si="7"/>
        <v>11521</v>
      </c>
      <c r="J131" s="10"/>
      <c r="K131" s="17"/>
      <c r="L131" s="81"/>
      <c r="M131" s="17"/>
      <c r="N131" s="82">
        <f t="shared" si="9"/>
        <v>1630</v>
      </c>
      <c r="O131" s="17"/>
      <c r="P131" s="87">
        <f t="shared" si="8"/>
        <v>65</v>
      </c>
      <c r="Q131" s="87">
        <f t="shared" si="10"/>
        <v>1695</v>
      </c>
      <c r="R131" s="2"/>
      <c r="S131" s="2"/>
      <c r="T131" s="2"/>
      <c r="U131" s="2"/>
      <c r="V131" s="2"/>
      <c r="W131" s="2"/>
      <c r="X131" s="2"/>
      <c r="Y131" s="3"/>
      <c r="Z131" s="3"/>
    </row>
    <row r="132" ht="13.5" customHeight="1">
      <c r="A132" s="3">
        <v>114.0</v>
      </c>
      <c r="B132" s="3"/>
      <c r="C132" s="74">
        <f t="shared" si="3"/>
        <v>6</v>
      </c>
      <c r="D132" s="75"/>
      <c r="E132" s="76">
        <f t="shared" si="4"/>
        <v>114</v>
      </c>
      <c r="F132" s="77">
        <f t="shared" si="12"/>
        <v>1</v>
      </c>
      <c r="G132" s="78" t="str">
        <f t="shared" si="2"/>
        <v>Jun</v>
      </c>
      <c r="H132" s="79">
        <f t="shared" si="6"/>
        <v>2035</v>
      </c>
      <c r="I132" s="80">
        <f t="shared" si="7"/>
        <v>9883</v>
      </c>
      <c r="J132" s="10"/>
      <c r="K132" s="17"/>
      <c r="L132" s="81"/>
      <c r="M132" s="17"/>
      <c r="N132" s="82">
        <f t="shared" si="9"/>
        <v>1638</v>
      </c>
      <c r="O132" s="17"/>
      <c r="P132" s="87">
        <f t="shared" si="8"/>
        <v>57</v>
      </c>
      <c r="Q132" s="87">
        <f t="shared" si="10"/>
        <v>1695</v>
      </c>
      <c r="R132" s="2"/>
      <c r="S132" s="2"/>
      <c r="T132" s="2"/>
      <c r="U132" s="2"/>
      <c r="V132" s="2"/>
      <c r="W132" s="2"/>
      <c r="X132" s="2"/>
      <c r="Y132" s="3"/>
      <c r="Z132" s="3"/>
    </row>
    <row r="133" ht="13.5" customHeight="1">
      <c r="A133" s="3">
        <v>115.0</v>
      </c>
      <c r="B133" s="3"/>
      <c r="C133" s="74">
        <f t="shared" si="3"/>
        <v>7</v>
      </c>
      <c r="D133" s="75"/>
      <c r="E133" s="76">
        <f t="shared" si="4"/>
        <v>115</v>
      </c>
      <c r="F133" s="77">
        <f t="shared" si="12"/>
        <v>1</v>
      </c>
      <c r="G133" s="78" t="str">
        <f t="shared" si="2"/>
        <v>Jul</v>
      </c>
      <c r="H133" s="79">
        <f t="shared" si="6"/>
        <v>2035</v>
      </c>
      <c r="I133" s="80">
        <f t="shared" si="7"/>
        <v>8237</v>
      </c>
      <c r="J133" s="10"/>
      <c r="K133" s="17"/>
      <c r="L133" s="81"/>
      <c r="M133" s="17"/>
      <c r="N133" s="82">
        <f t="shared" si="9"/>
        <v>1646</v>
      </c>
      <c r="O133" s="17"/>
      <c r="P133" s="87">
        <f t="shared" si="8"/>
        <v>49</v>
      </c>
      <c r="Q133" s="87">
        <f t="shared" si="10"/>
        <v>1695</v>
      </c>
      <c r="R133" s="2"/>
      <c r="S133" s="2"/>
      <c r="T133" s="2"/>
      <c r="U133" s="2"/>
      <c r="V133" s="2"/>
      <c r="W133" s="2"/>
      <c r="X133" s="2"/>
      <c r="Y133" s="3"/>
      <c r="Z133" s="3"/>
    </row>
    <row r="134" ht="13.5" customHeight="1">
      <c r="A134" s="3">
        <v>116.0</v>
      </c>
      <c r="B134" s="3"/>
      <c r="C134" s="74">
        <f t="shared" si="3"/>
        <v>8</v>
      </c>
      <c r="D134" s="75"/>
      <c r="E134" s="76">
        <f t="shared" si="4"/>
        <v>116</v>
      </c>
      <c r="F134" s="77">
        <f t="shared" si="12"/>
        <v>1</v>
      </c>
      <c r="G134" s="78" t="str">
        <f t="shared" si="2"/>
        <v>Ago</v>
      </c>
      <c r="H134" s="79">
        <f t="shared" si="6"/>
        <v>2035</v>
      </c>
      <c r="I134" s="80">
        <f t="shared" si="7"/>
        <v>6583</v>
      </c>
      <c r="J134" s="10"/>
      <c r="K134" s="17"/>
      <c r="L134" s="81"/>
      <c r="M134" s="17"/>
      <c r="N134" s="82">
        <f t="shared" si="9"/>
        <v>1654</v>
      </c>
      <c r="O134" s="17"/>
      <c r="P134" s="87">
        <f t="shared" si="8"/>
        <v>41</v>
      </c>
      <c r="Q134" s="87">
        <f t="shared" si="10"/>
        <v>1695</v>
      </c>
      <c r="R134" s="2"/>
      <c r="S134" s="2"/>
      <c r="T134" s="2"/>
      <c r="U134" s="2"/>
      <c r="V134" s="2"/>
      <c r="W134" s="2"/>
      <c r="X134" s="2"/>
      <c r="Y134" s="3"/>
      <c r="Z134" s="3"/>
    </row>
    <row r="135" ht="13.5" customHeight="1">
      <c r="A135" s="3">
        <v>117.0</v>
      </c>
      <c r="B135" s="3"/>
      <c r="C135" s="74">
        <f t="shared" si="3"/>
        <v>9</v>
      </c>
      <c r="D135" s="75"/>
      <c r="E135" s="76">
        <f t="shared" si="4"/>
        <v>117</v>
      </c>
      <c r="F135" s="77">
        <f t="shared" si="12"/>
        <v>1</v>
      </c>
      <c r="G135" s="78" t="str">
        <f t="shared" si="2"/>
        <v>Sep</v>
      </c>
      <c r="H135" s="79">
        <f t="shared" si="6"/>
        <v>2035</v>
      </c>
      <c r="I135" s="80">
        <f t="shared" si="7"/>
        <v>4920</v>
      </c>
      <c r="J135" s="10"/>
      <c r="K135" s="17"/>
      <c r="L135" s="81"/>
      <c r="M135" s="17"/>
      <c r="N135" s="82">
        <f t="shared" si="9"/>
        <v>1663</v>
      </c>
      <c r="O135" s="17"/>
      <c r="P135" s="87">
        <f t="shared" si="8"/>
        <v>32</v>
      </c>
      <c r="Q135" s="87">
        <f t="shared" si="10"/>
        <v>1695</v>
      </c>
      <c r="R135" s="2"/>
      <c r="S135" s="2"/>
      <c r="T135" s="2"/>
      <c r="U135" s="2"/>
      <c r="V135" s="2"/>
      <c r="W135" s="2"/>
      <c r="X135" s="2"/>
      <c r="Y135" s="3"/>
      <c r="Z135" s="3"/>
    </row>
    <row r="136" ht="13.5" customHeight="1">
      <c r="A136" s="3">
        <v>118.0</v>
      </c>
      <c r="B136" s="3"/>
      <c r="C136" s="74">
        <f t="shared" si="3"/>
        <v>10</v>
      </c>
      <c r="D136" s="75"/>
      <c r="E136" s="76">
        <f t="shared" si="4"/>
        <v>118</v>
      </c>
      <c r="F136" s="88">
        <f t="shared" si="12"/>
        <v>1</v>
      </c>
      <c r="G136" s="78" t="str">
        <f t="shared" si="2"/>
        <v>Oct</v>
      </c>
      <c r="H136" s="89">
        <f t="shared" si="6"/>
        <v>2035</v>
      </c>
      <c r="I136" s="80">
        <f t="shared" si="7"/>
        <v>3249</v>
      </c>
      <c r="J136" s="10"/>
      <c r="K136" s="17"/>
      <c r="L136" s="81"/>
      <c r="M136" s="17"/>
      <c r="N136" s="82">
        <f t="shared" si="9"/>
        <v>1671</v>
      </c>
      <c r="O136" s="17"/>
      <c r="P136" s="87">
        <f t="shared" si="8"/>
        <v>24</v>
      </c>
      <c r="Q136" s="87">
        <f t="shared" si="10"/>
        <v>1695</v>
      </c>
      <c r="R136" s="2"/>
      <c r="S136" s="2"/>
      <c r="T136" s="2"/>
      <c r="U136" s="2"/>
      <c r="V136" s="2"/>
      <c r="W136" s="2"/>
      <c r="X136" s="2"/>
      <c r="Y136" s="3"/>
      <c r="Z136" s="3"/>
    </row>
    <row r="137" ht="13.5" customHeight="1">
      <c r="A137" s="3">
        <v>119.0</v>
      </c>
      <c r="B137" s="3"/>
      <c r="C137" s="74">
        <f t="shared" si="3"/>
        <v>11</v>
      </c>
      <c r="D137" s="75"/>
      <c r="E137" s="76">
        <f t="shared" si="4"/>
        <v>119</v>
      </c>
      <c r="F137" s="77">
        <f t="shared" si="12"/>
        <v>1</v>
      </c>
      <c r="G137" s="78" t="str">
        <f t="shared" si="2"/>
        <v>Nov</v>
      </c>
      <c r="H137" s="79">
        <f t="shared" si="6"/>
        <v>2035</v>
      </c>
      <c r="I137" s="80">
        <f t="shared" si="7"/>
        <v>1570</v>
      </c>
      <c r="J137" s="10"/>
      <c r="K137" s="17"/>
      <c r="L137" s="81"/>
      <c r="M137" s="17"/>
      <c r="N137" s="82">
        <f t="shared" si="9"/>
        <v>1679</v>
      </c>
      <c r="O137" s="17"/>
      <c r="P137" s="87">
        <f t="shared" si="8"/>
        <v>16</v>
      </c>
      <c r="Q137" s="87">
        <f t="shared" si="10"/>
        <v>1695</v>
      </c>
      <c r="R137" s="2"/>
      <c r="S137" s="2"/>
      <c r="T137" s="2"/>
      <c r="U137" s="2"/>
      <c r="V137" s="2"/>
      <c r="W137" s="2"/>
      <c r="X137" s="2"/>
      <c r="Y137" s="3"/>
      <c r="Z137" s="3"/>
    </row>
    <row r="138" ht="13.5" customHeight="1">
      <c r="A138" s="3">
        <v>120.0</v>
      </c>
      <c r="B138" s="3"/>
      <c r="C138" s="74">
        <f t="shared" si="3"/>
        <v>12</v>
      </c>
      <c r="D138" s="75"/>
      <c r="E138" s="76">
        <f t="shared" si="4"/>
        <v>120</v>
      </c>
      <c r="F138" s="77">
        <f t="shared" si="12"/>
        <v>1</v>
      </c>
      <c r="G138" s="78" t="str">
        <f t="shared" si="2"/>
        <v>Dic</v>
      </c>
      <c r="H138" s="79">
        <f t="shared" si="6"/>
        <v>2035</v>
      </c>
      <c r="I138" s="80" t="str">
        <f t="shared" si="7"/>
        <v>0</v>
      </c>
      <c r="J138" s="10"/>
      <c r="K138" s="17"/>
      <c r="L138" s="81"/>
      <c r="M138" s="17"/>
      <c r="N138" s="82">
        <f t="shared" si="9"/>
        <v>1570</v>
      </c>
      <c r="O138" s="17"/>
      <c r="P138" s="87">
        <f t="shared" si="8"/>
        <v>7</v>
      </c>
      <c r="Q138" s="87">
        <f t="shared" si="10"/>
        <v>1577</v>
      </c>
      <c r="R138" s="2"/>
      <c r="S138" s="2"/>
      <c r="T138" s="2"/>
      <c r="U138" s="2"/>
      <c r="V138" s="2"/>
      <c r="W138" s="2"/>
      <c r="X138" s="2"/>
      <c r="Y138" s="3"/>
      <c r="Z138" s="3"/>
    </row>
    <row r="139" ht="13.5" customHeight="1">
      <c r="A139" s="3">
        <v>121.0</v>
      </c>
      <c r="B139" s="3"/>
      <c r="C139" s="74">
        <f t="shared" si="3"/>
        <v>1</v>
      </c>
      <c r="D139" s="75"/>
      <c r="E139" s="92"/>
      <c r="F139" s="10"/>
      <c r="G139" s="10"/>
      <c r="H139" s="10"/>
      <c r="I139" s="10"/>
      <c r="J139" s="10"/>
      <c r="K139" s="17"/>
      <c r="L139" s="82">
        <f>SUM(L19:L78)</f>
        <v>0</v>
      </c>
      <c r="M139" s="17"/>
      <c r="N139" s="82">
        <f>SUM(N19:N138)</f>
        <v>152657</v>
      </c>
      <c r="O139" s="17"/>
      <c r="P139" s="83">
        <f t="shared" ref="P139:Q139" si="13">SUM(P19:P138)</f>
        <v>50625</v>
      </c>
      <c r="Q139" s="83">
        <f t="shared" si="13"/>
        <v>203282</v>
      </c>
      <c r="R139" s="2"/>
      <c r="S139" s="2"/>
      <c r="T139" s="2"/>
      <c r="U139" s="2"/>
      <c r="V139" s="2"/>
      <c r="W139" s="2"/>
      <c r="X139" s="2"/>
      <c r="Y139" s="3"/>
      <c r="Z139" s="3"/>
    </row>
    <row r="140" ht="13.5" customHeight="1">
      <c r="A140" s="3">
        <v>122.0</v>
      </c>
      <c r="B140" s="3"/>
      <c r="C140" s="74">
        <f t="shared" si="3"/>
        <v>2</v>
      </c>
      <c r="D140" s="75"/>
      <c r="E140" s="93"/>
      <c r="F140" s="94"/>
      <c r="G140" s="94"/>
      <c r="H140" s="94"/>
      <c r="I140" s="94"/>
      <c r="J140" s="94"/>
      <c r="K140" s="94"/>
      <c r="L140" s="94"/>
      <c r="M140" s="95"/>
      <c r="N140" s="95"/>
      <c r="O140" s="2"/>
      <c r="P140" s="2"/>
      <c r="Q140" s="96"/>
      <c r="R140" s="2"/>
      <c r="S140" s="2"/>
      <c r="T140" s="2"/>
      <c r="U140" s="2"/>
      <c r="V140" s="2"/>
      <c r="W140" s="2"/>
      <c r="X140" s="2"/>
      <c r="Y140" s="3"/>
      <c r="Z140" s="3"/>
    </row>
    <row r="141" ht="13.5" customHeight="1">
      <c r="A141" s="3">
        <v>123.0</v>
      </c>
      <c r="B141" s="3"/>
      <c r="C141" s="74">
        <f t="shared" si="3"/>
        <v>3</v>
      </c>
      <c r="D141" s="75"/>
      <c r="E141" s="93"/>
      <c r="F141" s="94"/>
      <c r="G141" s="94"/>
      <c r="H141" s="94"/>
      <c r="I141" s="94"/>
      <c r="J141" s="94"/>
      <c r="K141" s="94"/>
      <c r="L141" s="94"/>
      <c r="M141" s="95"/>
      <c r="N141" s="95"/>
      <c r="O141" s="2"/>
      <c r="P141" s="2"/>
      <c r="Q141" s="96"/>
      <c r="R141" s="2"/>
      <c r="S141" s="2"/>
      <c r="T141" s="2"/>
      <c r="U141" s="2"/>
      <c r="V141" s="2"/>
      <c r="W141" s="2"/>
      <c r="X141" s="2"/>
      <c r="Y141" s="3"/>
      <c r="Z141" s="3"/>
    </row>
    <row r="142" ht="13.5" customHeight="1">
      <c r="A142" s="3">
        <v>124.0</v>
      </c>
      <c r="B142" s="3"/>
      <c r="C142" s="74">
        <f t="shared" si="3"/>
        <v>4</v>
      </c>
      <c r="D142" s="75"/>
      <c r="E142" s="93"/>
      <c r="F142" s="94"/>
      <c r="G142" s="94"/>
      <c r="H142" s="94"/>
      <c r="I142" s="94"/>
      <c r="J142" s="94"/>
      <c r="K142" s="94"/>
      <c r="L142" s="94"/>
      <c r="M142" s="95"/>
      <c r="N142" s="95"/>
      <c r="O142" s="2"/>
      <c r="P142" s="2"/>
      <c r="Q142" s="96"/>
      <c r="R142" s="2"/>
      <c r="S142" s="2"/>
      <c r="T142" s="2"/>
      <c r="U142" s="2"/>
      <c r="V142" s="2"/>
      <c r="W142" s="2"/>
      <c r="X142" s="2"/>
      <c r="Y142" s="3"/>
      <c r="Z142" s="3"/>
    </row>
    <row r="143" ht="13.5" customHeight="1">
      <c r="A143" s="3">
        <v>125.0</v>
      </c>
      <c r="B143" s="3"/>
      <c r="C143" s="74">
        <f t="shared" si="3"/>
        <v>5</v>
      </c>
      <c r="D143" s="75"/>
      <c r="E143" s="93"/>
      <c r="F143" s="94"/>
      <c r="G143" s="94"/>
      <c r="H143" s="94"/>
      <c r="I143" s="94"/>
      <c r="J143" s="94"/>
      <c r="K143" s="94"/>
      <c r="L143" s="94"/>
      <c r="M143" s="95"/>
      <c r="N143" s="95"/>
      <c r="O143" s="2"/>
      <c r="P143" s="2"/>
      <c r="Q143" s="96"/>
      <c r="R143" s="2"/>
      <c r="S143" s="2"/>
      <c r="T143" s="2"/>
      <c r="U143" s="2"/>
      <c r="V143" s="2"/>
      <c r="W143" s="2"/>
      <c r="X143" s="2"/>
      <c r="Y143" s="3"/>
      <c r="Z143" s="3"/>
    </row>
    <row r="144" ht="13.5" customHeight="1">
      <c r="A144" s="3">
        <v>126.0</v>
      </c>
      <c r="B144" s="3"/>
      <c r="C144" s="74">
        <f t="shared" si="3"/>
        <v>6</v>
      </c>
      <c r="D144" s="75"/>
      <c r="E144" s="93"/>
      <c r="F144" s="94"/>
      <c r="G144" s="94"/>
      <c r="H144" s="94"/>
      <c r="I144" s="94"/>
      <c r="J144" s="94"/>
      <c r="K144" s="94"/>
      <c r="L144" s="94"/>
      <c r="M144" s="95"/>
      <c r="N144" s="95"/>
      <c r="O144" s="2"/>
      <c r="P144" s="2"/>
      <c r="Q144" s="96"/>
      <c r="R144" s="2"/>
      <c r="S144" s="2"/>
      <c r="T144" s="2"/>
      <c r="U144" s="2"/>
      <c r="V144" s="2"/>
      <c r="W144" s="2"/>
      <c r="X144" s="2"/>
      <c r="Y144" s="3"/>
      <c r="Z144" s="3"/>
    </row>
    <row r="145" ht="13.5" customHeight="1">
      <c r="A145" s="3">
        <v>127.0</v>
      </c>
      <c r="B145" s="3"/>
      <c r="C145" s="74">
        <f t="shared" si="3"/>
        <v>7</v>
      </c>
      <c r="D145" s="75"/>
      <c r="E145" s="93"/>
      <c r="F145" s="94"/>
      <c r="G145" s="94"/>
      <c r="H145" s="94"/>
      <c r="I145" s="94"/>
      <c r="J145" s="94"/>
      <c r="K145" s="94"/>
      <c r="L145" s="94"/>
      <c r="M145" s="95"/>
      <c r="N145" s="95"/>
      <c r="O145" s="2"/>
      <c r="P145" s="2"/>
      <c r="Q145" s="96"/>
      <c r="R145" s="2"/>
      <c r="S145" s="2"/>
      <c r="T145" s="2"/>
      <c r="U145" s="2"/>
      <c r="V145" s="2"/>
      <c r="W145" s="2"/>
      <c r="X145" s="2"/>
      <c r="Y145" s="3"/>
      <c r="Z145" s="3"/>
    </row>
    <row r="146" ht="13.5" customHeight="1">
      <c r="A146" s="3">
        <v>128.0</v>
      </c>
      <c r="B146" s="3"/>
      <c r="C146" s="74">
        <f t="shared" si="3"/>
        <v>8</v>
      </c>
      <c r="D146" s="75"/>
      <c r="E146" s="93"/>
      <c r="F146" s="94"/>
      <c r="G146" s="94"/>
      <c r="H146" s="94"/>
      <c r="I146" s="94"/>
      <c r="J146" s="94"/>
      <c r="K146" s="94"/>
      <c r="L146" s="94"/>
      <c r="M146" s="95"/>
      <c r="N146" s="95"/>
      <c r="O146" s="2"/>
      <c r="P146" s="2"/>
      <c r="Q146" s="96"/>
      <c r="R146" s="2"/>
      <c r="S146" s="2"/>
      <c r="T146" s="2"/>
      <c r="U146" s="2"/>
      <c r="V146" s="2"/>
      <c r="W146" s="2"/>
      <c r="X146" s="2"/>
      <c r="Y146" s="3"/>
      <c r="Z146" s="3"/>
    </row>
    <row r="147" ht="13.5" customHeight="1">
      <c r="A147" s="3">
        <v>129.0</v>
      </c>
      <c r="B147" s="3"/>
      <c r="C147" s="74">
        <f t="shared" si="3"/>
        <v>9</v>
      </c>
      <c r="D147" s="75"/>
      <c r="E147" s="93"/>
      <c r="F147" s="94"/>
      <c r="G147" s="94"/>
      <c r="H147" s="94"/>
      <c r="I147" s="94"/>
      <c r="J147" s="94"/>
      <c r="K147" s="94"/>
      <c r="L147" s="94"/>
      <c r="M147" s="95"/>
      <c r="N147" s="95"/>
      <c r="O147" s="2"/>
      <c r="P147" s="2"/>
      <c r="Q147" s="96"/>
      <c r="R147" s="2"/>
      <c r="S147" s="2"/>
      <c r="T147" s="2"/>
      <c r="U147" s="2"/>
      <c r="V147" s="2"/>
      <c r="W147" s="2"/>
      <c r="X147" s="2"/>
      <c r="Y147" s="3"/>
      <c r="Z147" s="3"/>
    </row>
    <row r="148" ht="13.5" customHeight="1">
      <c r="A148" s="3">
        <v>130.0</v>
      </c>
      <c r="B148" s="3"/>
      <c r="C148" s="74">
        <f t="shared" si="3"/>
        <v>10</v>
      </c>
      <c r="D148" s="75"/>
      <c r="E148" s="93"/>
      <c r="F148" s="94"/>
      <c r="G148" s="94"/>
      <c r="H148" s="94"/>
      <c r="I148" s="94"/>
      <c r="J148" s="94"/>
      <c r="K148" s="94"/>
      <c r="L148" s="94"/>
      <c r="M148" s="95"/>
      <c r="N148" s="95"/>
      <c r="O148" s="2"/>
      <c r="P148" s="2"/>
      <c r="Q148" s="96"/>
      <c r="R148" s="2"/>
      <c r="S148" s="2"/>
      <c r="T148" s="2"/>
      <c r="U148" s="2"/>
      <c r="V148" s="2"/>
      <c r="W148" s="2"/>
      <c r="X148" s="2"/>
      <c r="Y148" s="3"/>
      <c r="Z148" s="3"/>
    </row>
    <row r="149" ht="13.5" customHeight="1">
      <c r="A149" s="3">
        <v>131.0</v>
      </c>
      <c r="B149" s="3"/>
      <c r="C149" s="74">
        <f t="shared" si="3"/>
        <v>11</v>
      </c>
      <c r="D149" s="75"/>
      <c r="E149" s="93"/>
      <c r="F149" s="94"/>
      <c r="G149" s="94"/>
      <c r="H149" s="94"/>
      <c r="I149" s="94"/>
      <c r="J149" s="94"/>
      <c r="K149" s="94"/>
      <c r="L149" s="94"/>
      <c r="M149" s="95"/>
      <c r="N149" s="95"/>
      <c r="O149" s="2"/>
      <c r="P149" s="2"/>
      <c r="Q149" s="96"/>
      <c r="R149" s="2"/>
      <c r="S149" s="2"/>
      <c r="T149" s="2"/>
      <c r="U149" s="2"/>
      <c r="V149" s="2"/>
      <c r="W149" s="2"/>
      <c r="X149" s="2"/>
      <c r="Y149" s="3"/>
      <c r="Z149" s="3"/>
    </row>
    <row r="150" ht="13.5" customHeight="1">
      <c r="A150" s="3">
        <v>132.0</v>
      </c>
      <c r="B150" s="3"/>
      <c r="C150" s="74">
        <f t="shared" si="3"/>
        <v>12</v>
      </c>
      <c r="D150" s="75"/>
      <c r="E150" s="93"/>
      <c r="F150" s="94"/>
      <c r="G150" s="94"/>
      <c r="H150" s="94"/>
      <c r="I150" s="94"/>
      <c r="J150" s="94"/>
      <c r="K150" s="94"/>
      <c r="L150" s="94"/>
      <c r="M150" s="95"/>
      <c r="N150" s="95"/>
      <c r="O150" s="2"/>
      <c r="P150" s="2"/>
      <c r="Q150" s="96"/>
      <c r="R150" s="2"/>
      <c r="S150" s="2"/>
      <c r="T150" s="2"/>
      <c r="U150" s="2"/>
      <c r="V150" s="2"/>
      <c r="W150" s="2"/>
      <c r="X150" s="2"/>
      <c r="Y150" s="3"/>
      <c r="Z150" s="3"/>
    </row>
    <row r="151" ht="13.5" customHeight="1">
      <c r="A151" s="3">
        <v>133.0</v>
      </c>
      <c r="B151" s="3"/>
      <c r="C151" s="74">
        <f t="shared" si="3"/>
        <v>1</v>
      </c>
      <c r="D151" s="75"/>
      <c r="E151" s="93"/>
      <c r="F151" s="94"/>
      <c r="G151" s="94"/>
      <c r="H151" s="94"/>
      <c r="I151" s="94"/>
      <c r="J151" s="94"/>
      <c r="K151" s="94"/>
      <c r="L151" s="94"/>
      <c r="M151" s="95"/>
      <c r="N151" s="95"/>
      <c r="O151" s="2"/>
      <c r="P151" s="2"/>
      <c r="Q151" s="96"/>
      <c r="R151" s="2"/>
      <c r="S151" s="2"/>
      <c r="T151" s="2"/>
      <c r="U151" s="2"/>
      <c r="V151" s="2"/>
      <c r="W151" s="2"/>
      <c r="X151" s="2"/>
      <c r="Y151" s="3"/>
      <c r="Z151" s="3"/>
    </row>
    <row r="152" ht="13.5" customHeight="1">
      <c r="A152" s="3">
        <v>134.0</v>
      </c>
      <c r="B152" s="3"/>
      <c r="C152" s="74">
        <f t="shared" si="3"/>
        <v>2</v>
      </c>
      <c r="D152" s="75"/>
      <c r="E152" s="93"/>
      <c r="F152" s="94"/>
      <c r="G152" s="94"/>
      <c r="H152" s="94"/>
      <c r="I152" s="94"/>
      <c r="J152" s="94"/>
      <c r="K152" s="94"/>
      <c r="L152" s="94"/>
      <c r="M152" s="95"/>
      <c r="N152" s="95"/>
      <c r="O152" s="2"/>
      <c r="P152" s="2"/>
      <c r="Q152" s="96"/>
      <c r="R152" s="2"/>
      <c r="S152" s="2"/>
      <c r="T152" s="2"/>
      <c r="U152" s="2"/>
      <c r="V152" s="2"/>
      <c r="W152" s="2"/>
      <c r="X152" s="2"/>
      <c r="Y152" s="3"/>
      <c r="Z152" s="3"/>
    </row>
    <row r="153" ht="13.5" customHeight="1">
      <c r="A153" s="3">
        <v>135.0</v>
      </c>
      <c r="B153" s="3"/>
      <c r="C153" s="74">
        <f t="shared" si="3"/>
        <v>3</v>
      </c>
      <c r="D153" s="75"/>
      <c r="E153" s="93"/>
      <c r="F153" s="94"/>
      <c r="G153" s="94"/>
      <c r="H153" s="94"/>
      <c r="I153" s="94"/>
      <c r="J153" s="94"/>
      <c r="K153" s="94"/>
      <c r="L153" s="94"/>
      <c r="M153" s="95"/>
      <c r="N153" s="95"/>
      <c r="O153" s="2"/>
      <c r="P153" s="2"/>
      <c r="Q153" s="96"/>
      <c r="R153" s="2"/>
      <c r="S153" s="2"/>
      <c r="T153" s="2"/>
      <c r="U153" s="2"/>
      <c r="V153" s="2"/>
      <c r="W153" s="2"/>
      <c r="X153" s="2"/>
      <c r="Y153" s="3"/>
      <c r="Z153" s="3"/>
    </row>
    <row r="154" ht="13.5" customHeight="1">
      <c r="A154" s="3">
        <v>136.0</v>
      </c>
      <c r="B154" s="3"/>
      <c r="C154" s="74">
        <f t="shared" si="3"/>
        <v>4</v>
      </c>
      <c r="D154" s="75"/>
      <c r="E154" s="93"/>
      <c r="F154" s="94"/>
      <c r="G154" s="94"/>
      <c r="H154" s="94"/>
      <c r="I154" s="94"/>
      <c r="J154" s="94"/>
      <c r="K154" s="94"/>
      <c r="L154" s="94"/>
      <c r="M154" s="95"/>
      <c r="N154" s="95"/>
      <c r="O154" s="2"/>
      <c r="P154" s="2"/>
      <c r="Q154" s="96"/>
      <c r="R154" s="2"/>
      <c r="S154" s="2"/>
      <c r="T154" s="2"/>
      <c r="U154" s="2"/>
      <c r="V154" s="2"/>
      <c r="W154" s="2"/>
      <c r="X154" s="2"/>
      <c r="Y154" s="3"/>
      <c r="Z154" s="3"/>
    </row>
    <row r="155" ht="13.5" customHeight="1">
      <c r="A155" s="3">
        <v>137.0</v>
      </c>
      <c r="B155" s="3"/>
      <c r="C155" s="74">
        <f t="shared" si="3"/>
        <v>5</v>
      </c>
      <c r="D155" s="75"/>
      <c r="E155" s="93"/>
      <c r="F155" s="94"/>
      <c r="G155" s="94"/>
      <c r="H155" s="94"/>
      <c r="I155" s="94"/>
      <c r="J155" s="94"/>
      <c r="K155" s="94"/>
      <c r="L155" s="94"/>
      <c r="M155" s="95"/>
      <c r="N155" s="95"/>
      <c r="O155" s="2"/>
      <c r="P155" s="2"/>
      <c r="Q155" s="96"/>
      <c r="R155" s="2"/>
      <c r="S155" s="2"/>
      <c r="T155" s="2"/>
      <c r="U155" s="2"/>
      <c r="V155" s="2"/>
      <c r="W155" s="2"/>
      <c r="X155" s="2"/>
      <c r="Y155" s="3"/>
      <c r="Z155" s="3"/>
    </row>
    <row r="156" ht="13.5" customHeight="1">
      <c r="A156" s="3">
        <v>138.0</v>
      </c>
      <c r="B156" s="3"/>
      <c r="C156" s="74">
        <f t="shared" si="3"/>
        <v>6</v>
      </c>
      <c r="D156" s="75"/>
      <c r="E156" s="93"/>
      <c r="F156" s="94"/>
      <c r="G156" s="94"/>
      <c r="H156" s="94"/>
      <c r="I156" s="94"/>
      <c r="J156" s="94"/>
      <c r="K156" s="94"/>
      <c r="L156" s="94"/>
      <c r="M156" s="95"/>
      <c r="N156" s="95"/>
      <c r="O156" s="2"/>
      <c r="P156" s="2"/>
      <c r="Q156" s="96"/>
      <c r="R156" s="2"/>
      <c r="S156" s="2"/>
      <c r="T156" s="2"/>
      <c r="U156" s="2"/>
      <c r="V156" s="2"/>
      <c r="W156" s="2"/>
      <c r="X156" s="2"/>
      <c r="Y156" s="3"/>
      <c r="Z156" s="3"/>
    </row>
    <row r="157" ht="13.5" customHeight="1">
      <c r="A157" s="3">
        <v>139.0</v>
      </c>
      <c r="B157" s="3"/>
      <c r="C157" s="74">
        <f t="shared" si="3"/>
        <v>7</v>
      </c>
      <c r="D157" s="75"/>
      <c r="E157" s="93"/>
      <c r="F157" s="94"/>
      <c r="G157" s="94"/>
      <c r="H157" s="94"/>
      <c r="I157" s="94"/>
      <c r="J157" s="94"/>
      <c r="K157" s="94"/>
      <c r="L157" s="94"/>
      <c r="M157" s="95"/>
      <c r="N157" s="95"/>
      <c r="O157" s="2"/>
      <c r="P157" s="2"/>
      <c r="Q157" s="96"/>
      <c r="R157" s="2"/>
      <c r="S157" s="2"/>
      <c r="T157" s="2"/>
      <c r="U157" s="2"/>
      <c r="V157" s="2"/>
      <c r="W157" s="2"/>
      <c r="X157" s="2"/>
      <c r="Y157" s="3"/>
      <c r="Z157" s="3"/>
    </row>
    <row r="158" ht="13.5" customHeight="1">
      <c r="A158" s="3">
        <v>140.0</v>
      </c>
      <c r="B158" s="3"/>
      <c r="C158" s="74">
        <f t="shared" si="3"/>
        <v>8</v>
      </c>
      <c r="D158" s="75"/>
      <c r="E158" s="93"/>
      <c r="F158" s="94"/>
      <c r="G158" s="94"/>
      <c r="H158" s="94"/>
      <c r="I158" s="94"/>
      <c r="J158" s="94"/>
      <c r="K158" s="94"/>
      <c r="L158" s="94"/>
      <c r="M158" s="95"/>
      <c r="N158" s="95"/>
      <c r="O158" s="2"/>
      <c r="P158" s="2"/>
      <c r="Q158" s="96"/>
      <c r="R158" s="2"/>
      <c r="S158" s="2"/>
      <c r="T158" s="2"/>
      <c r="U158" s="2"/>
      <c r="V158" s="2"/>
      <c r="W158" s="2"/>
      <c r="X158" s="2"/>
      <c r="Y158" s="3"/>
      <c r="Z158" s="3"/>
    </row>
    <row r="159" ht="13.5" customHeight="1">
      <c r="A159" s="3">
        <v>141.0</v>
      </c>
      <c r="B159" s="3"/>
      <c r="C159" s="74">
        <f t="shared" si="3"/>
        <v>9</v>
      </c>
      <c r="D159" s="75"/>
      <c r="E159" s="93"/>
      <c r="F159" s="94"/>
      <c r="G159" s="94"/>
      <c r="H159" s="94"/>
      <c r="I159" s="94"/>
      <c r="J159" s="94"/>
      <c r="K159" s="94"/>
      <c r="L159" s="94"/>
      <c r="M159" s="95"/>
      <c r="N159" s="95"/>
      <c r="O159" s="2"/>
      <c r="P159" s="2"/>
      <c r="Q159" s="96"/>
      <c r="R159" s="2"/>
      <c r="S159" s="2"/>
      <c r="T159" s="2"/>
      <c r="U159" s="2"/>
      <c r="V159" s="2"/>
      <c r="W159" s="2"/>
      <c r="X159" s="2"/>
      <c r="Y159" s="3"/>
      <c r="Z159" s="3"/>
    </row>
    <row r="160" ht="13.5" customHeight="1">
      <c r="A160" s="3">
        <v>142.0</v>
      </c>
      <c r="B160" s="3"/>
      <c r="C160" s="74">
        <f t="shared" si="3"/>
        <v>10</v>
      </c>
      <c r="D160" s="75"/>
      <c r="E160" s="93"/>
      <c r="F160" s="94"/>
      <c r="G160" s="94"/>
      <c r="H160" s="94"/>
      <c r="I160" s="94"/>
      <c r="J160" s="94"/>
      <c r="K160" s="94"/>
      <c r="L160" s="94"/>
      <c r="M160" s="95"/>
      <c r="N160" s="95"/>
      <c r="O160" s="2"/>
      <c r="P160" s="2"/>
      <c r="Q160" s="96"/>
      <c r="R160" s="2"/>
      <c r="S160" s="2"/>
      <c r="T160" s="2"/>
      <c r="U160" s="2"/>
      <c r="V160" s="2"/>
      <c r="W160" s="2"/>
      <c r="X160" s="2"/>
      <c r="Y160" s="3"/>
      <c r="Z160" s="3"/>
    </row>
    <row r="161" ht="13.5" customHeight="1">
      <c r="A161" s="3">
        <v>143.0</v>
      </c>
      <c r="B161" s="3"/>
      <c r="C161" s="74">
        <f t="shared" si="3"/>
        <v>11</v>
      </c>
      <c r="D161" s="75"/>
      <c r="E161" s="93"/>
      <c r="F161" s="94"/>
      <c r="G161" s="94"/>
      <c r="H161" s="94"/>
      <c r="I161" s="94"/>
      <c r="J161" s="94"/>
      <c r="K161" s="94"/>
      <c r="L161" s="94"/>
      <c r="M161" s="95"/>
      <c r="N161" s="95"/>
      <c r="O161" s="2"/>
      <c r="P161" s="2"/>
      <c r="Q161" s="96"/>
      <c r="R161" s="2"/>
      <c r="S161" s="2"/>
      <c r="T161" s="2"/>
      <c r="U161" s="2"/>
      <c r="V161" s="2"/>
      <c r="W161" s="2"/>
      <c r="X161" s="2"/>
      <c r="Y161" s="3"/>
      <c r="Z161" s="3"/>
    </row>
    <row r="162" ht="13.5" customHeight="1">
      <c r="A162" s="3">
        <v>144.0</v>
      </c>
      <c r="B162" s="3"/>
      <c r="C162" s="74">
        <f t="shared" si="3"/>
        <v>12</v>
      </c>
      <c r="D162" s="75"/>
      <c r="E162" s="93"/>
      <c r="F162" s="94"/>
      <c r="G162" s="94"/>
      <c r="H162" s="94"/>
      <c r="I162" s="94"/>
      <c r="J162" s="94"/>
      <c r="K162" s="94"/>
      <c r="L162" s="94"/>
      <c r="M162" s="95"/>
      <c r="N162" s="95"/>
      <c r="O162" s="2"/>
      <c r="P162" s="2"/>
      <c r="Q162" s="96"/>
      <c r="R162" s="2"/>
      <c r="S162" s="2"/>
      <c r="T162" s="2"/>
      <c r="U162" s="2"/>
      <c r="V162" s="2"/>
      <c r="W162" s="2"/>
      <c r="X162" s="2"/>
      <c r="Y162" s="3"/>
      <c r="Z162" s="3"/>
    </row>
    <row r="163" ht="13.5" customHeight="1">
      <c r="A163" s="3">
        <v>145.0</v>
      </c>
      <c r="B163" s="3"/>
      <c r="C163" s="74">
        <f t="shared" si="3"/>
        <v>1</v>
      </c>
      <c r="D163" s="75"/>
      <c r="E163" s="93"/>
      <c r="F163" s="94"/>
      <c r="G163" s="94"/>
      <c r="H163" s="94"/>
      <c r="I163" s="94"/>
      <c r="J163" s="94"/>
      <c r="K163" s="94"/>
      <c r="L163" s="94"/>
      <c r="M163" s="95"/>
      <c r="N163" s="95"/>
      <c r="O163" s="2"/>
      <c r="P163" s="2"/>
      <c r="Q163" s="96"/>
      <c r="R163" s="2"/>
      <c r="S163" s="2"/>
      <c r="T163" s="2"/>
      <c r="U163" s="2"/>
      <c r="V163" s="2"/>
      <c r="W163" s="2"/>
      <c r="X163" s="2"/>
      <c r="Y163" s="3"/>
      <c r="Z163" s="3"/>
    </row>
    <row r="164" ht="13.5" customHeight="1">
      <c r="A164" s="3">
        <v>146.0</v>
      </c>
      <c r="B164" s="3"/>
      <c r="C164" s="74">
        <f t="shared" si="3"/>
        <v>2</v>
      </c>
      <c r="D164" s="75"/>
      <c r="E164" s="93"/>
      <c r="F164" s="94"/>
      <c r="G164" s="94"/>
      <c r="H164" s="94"/>
      <c r="I164" s="94"/>
      <c r="J164" s="94"/>
      <c r="K164" s="94"/>
      <c r="L164" s="94"/>
      <c r="M164" s="95"/>
      <c r="N164" s="95"/>
      <c r="O164" s="2"/>
      <c r="P164" s="2"/>
      <c r="Q164" s="96"/>
      <c r="R164" s="2"/>
      <c r="S164" s="2"/>
      <c r="T164" s="2"/>
      <c r="U164" s="2"/>
      <c r="V164" s="2"/>
      <c r="W164" s="2"/>
      <c r="X164" s="2"/>
      <c r="Y164" s="3"/>
      <c r="Z164" s="3"/>
    </row>
    <row r="165" ht="13.5" customHeight="1">
      <c r="A165" s="3">
        <v>147.0</v>
      </c>
      <c r="B165" s="3"/>
      <c r="C165" s="74">
        <f t="shared" si="3"/>
        <v>3</v>
      </c>
      <c r="D165" s="75"/>
      <c r="E165" s="93"/>
      <c r="F165" s="94"/>
      <c r="G165" s="94"/>
      <c r="H165" s="94"/>
      <c r="I165" s="94"/>
      <c r="J165" s="94"/>
      <c r="K165" s="94"/>
      <c r="L165" s="94"/>
      <c r="M165" s="95"/>
      <c r="N165" s="95"/>
      <c r="O165" s="2"/>
      <c r="P165" s="2"/>
      <c r="Q165" s="96"/>
      <c r="R165" s="2"/>
      <c r="S165" s="2"/>
      <c r="T165" s="2"/>
      <c r="U165" s="2"/>
      <c r="V165" s="2"/>
      <c r="W165" s="2"/>
      <c r="X165" s="2"/>
      <c r="Y165" s="3"/>
      <c r="Z165" s="3"/>
    </row>
    <row r="166" ht="13.5" customHeight="1">
      <c r="A166" s="3">
        <v>148.0</v>
      </c>
      <c r="B166" s="3"/>
      <c r="C166" s="74">
        <f t="shared" si="3"/>
        <v>4</v>
      </c>
      <c r="D166" s="75"/>
      <c r="E166" s="93"/>
      <c r="F166" s="94"/>
      <c r="G166" s="94"/>
      <c r="H166" s="94"/>
      <c r="I166" s="94"/>
      <c r="J166" s="94"/>
      <c r="K166" s="94"/>
      <c r="L166" s="94"/>
      <c r="M166" s="95"/>
      <c r="N166" s="95"/>
      <c r="O166" s="2"/>
      <c r="P166" s="2"/>
      <c r="Q166" s="96"/>
      <c r="R166" s="2"/>
      <c r="S166" s="2"/>
      <c r="T166" s="2"/>
      <c r="U166" s="2"/>
      <c r="V166" s="2"/>
      <c r="W166" s="2"/>
      <c r="X166" s="2"/>
      <c r="Y166" s="3"/>
      <c r="Z166" s="3"/>
    </row>
    <row r="167" ht="13.5" customHeight="1">
      <c r="A167" s="3">
        <v>149.0</v>
      </c>
      <c r="B167" s="3"/>
      <c r="C167" s="74">
        <f t="shared" si="3"/>
        <v>5</v>
      </c>
      <c r="D167" s="75"/>
      <c r="E167" s="93"/>
      <c r="F167" s="94"/>
      <c r="G167" s="94"/>
      <c r="H167" s="94"/>
      <c r="I167" s="94"/>
      <c r="J167" s="94"/>
      <c r="K167" s="94"/>
      <c r="L167" s="94"/>
      <c r="M167" s="95"/>
      <c r="N167" s="95"/>
      <c r="O167" s="2"/>
      <c r="P167" s="2"/>
      <c r="Q167" s="96"/>
      <c r="R167" s="2"/>
      <c r="S167" s="2"/>
      <c r="T167" s="2"/>
      <c r="U167" s="2"/>
      <c r="V167" s="2"/>
      <c r="W167" s="2"/>
      <c r="X167" s="2"/>
      <c r="Y167" s="3"/>
      <c r="Z167" s="3"/>
    </row>
    <row r="168" ht="13.5" customHeight="1">
      <c r="A168" s="3"/>
      <c r="B168" s="3"/>
      <c r="C168" s="74"/>
      <c r="D168" s="75"/>
      <c r="E168" s="93"/>
      <c r="F168" s="94"/>
      <c r="G168" s="94"/>
      <c r="H168" s="94"/>
      <c r="I168" s="94"/>
      <c r="J168" s="94"/>
      <c r="K168" s="94"/>
      <c r="L168" s="94"/>
      <c r="M168" s="95"/>
      <c r="N168" s="95"/>
      <c r="O168" s="2"/>
      <c r="P168" s="2"/>
      <c r="Q168" s="96"/>
      <c r="R168" s="2"/>
      <c r="S168" s="2"/>
      <c r="T168" s="2"/>
      <c r="U168" s="2"/>
      <c r="V168" s="2"/>
      <c r="W168" s="2"/>
      <c r="X168" s="2"/>
      <c r="Y168" s="3"/>
      <c r="Z168" s="3"/>
    </row>
    <row r="169" ht="13.5" customHeight="1">
      <c r="A169" s="3"/>
      <c r="B169" s="3"/>
      <c r="C169" s="74"/>
      <c r="D169" s="75"/>
      <c r="E169" s="93"/>
      <c r="F169" s="94"/>
      <c r="G169" s="94"/>
      <c r="H169" s="94"/>
      <c r="I169" s="94"/>
      <c r="J169" s="94"/>
      <c r="K169" s="94"/>
      <c r="L169" s="94"/>
      <c r="M169" s="95"/>
      <c r="N169" s="95"/>
      <c r="O169" s="2"/>
      <c r="P169" s="2"/>
      <c r="Q169" s="96"/>
      <c r="R169" s="2"/>
      <c r="S169" s="2"/>
      <c r="T169" s="2"/>
      <c r="U169" s="2"/>
      <c r="V169" s="2"/>
      <c r="W169" s="2"/>
      <c r="X169" s="2"/>
      <c r="Y169" s="3"/>
      <c r="Z169" s="3"/>
    </row>
    <row r="170" ht="13.5" customHeight="1">
      <c r="A170" s="3"/>
      <c r="B170" s="3"/>
      <c r="C170" s="74"/>
      <c r="D170" s="75"/>
      <c r="E170" s="93"/>
      <c r="F170" s="94"/>
      <c r="G170" s="94"/>
      <c r="H170" s="94"/>
      <c r="I170" s="94"/>
      <c r="J170" s="94"/>
      <c r="K170" s="94"/>
      <c r="L170" s="94"/>
      <c r="M170" s="95"/>
      <c r="N170" s="95"/>
      <c r="O170" s="2"/>
      <c r="P170" s="2"/>
      <c r="Q170" s="96"/>
      <c r="R170" s="2"/>
      <c r="S170" s="2"/>
      <c r="T170" s="2"/>
      <c r="U170" s="2"/>
      <c r="V170" s="2"/>
      <c r="W170" s="2"/>
      <c r="X170" s="2"/>
      <c r="Y170" s="3"/>
      <c r="Z170" s="3"/>
    </row>
    <row r="171" ht="13.5" customHeight="1">
      <c r="A171" s="3"/>
      <c r="B171" s="3"/>
      <c r="C171" s="74"/>
      <c r="D171" s="75"/>
      <c r="E171" s="93"/>
      <c r="F171" s="94"/>
      <c r="G171" s="94"/>
      <c r="H171" s="94"/>
      <c r="I171" s="94"/>
      <c r="J171" s="94"/>
      <c r="K171" s="94"/>
      <c r="L171" s="94"/>
      <c r="M171" s="95"/>
      <c r="N171" s="95"/>
      <c r="O171" s="2"/>
      <c r="P171" s="2"/>
      <c r="Q171" s="96"/>
      <c r="R171" s="2"/>
      <c r="S171" s="2"/>
      <c r="T171" s="2"/>
      <c r="U171" s="2"/>
      <c r="V171" s="2"/>
      <c r="W171" s="2"/>
      <c r="X171" s="2"/>
      <c r="Y171" s="3"/>
      <c r="Z171" s="3"/>
    </row>
    <row r="172" ht="13.5" customHeight="1">
      <c r="A172" s="3"/>
      <c r="B172" s="3"/>
      <c r="C172" s="74"/>
      <c r="D172" s="75"/>
      <c r="E172" s="93"/>
      <c r="F172" s="94"/>
      <c r="G172" s="94"/>
      <c r="H172" s="94"/>
      <c r="I172" s="94"/>
      <c r="J172" s="94"/>
      <c r="K172" s="94"/>
      <c r="L172" s="94"/>
      <c r="M172" s="95"/>
      <c r="N172" s="95"/>
      <c r="O172" s="2"/>
      <c r="P172" s="2"/>
      <c r="Q172" s="96"/>
      <c r="R172" s="2"/>
      <c r="S172" s="2"/>
      <c r="T172" s="2"/>
      <c r="U172" s="2"/>
      <c r="V172" s="2"/>
      <c r="W172" s="2"/>
      <c r="X172" s="2"/>
      <c r="Y172" s="3"/>
      <c r="Z172" s="3"/>
    </row>
    <row r="173" ht="13.5" customHeight="1">
      <c r="A173" s="3"/>
      <c r="B173" s="3"/>
      <c r="C173" s="74"/>
      <c r="D173" s="75"/>
      <c r="E173" s="93"/>
      <c r="F173" s="94"/>
      <c r="G173" s="94"/>
      <c r="H173" s="94"/>
      <c r="I173" s="94"/>
      <c r="J173" s="94"/>
      <c r="K173" s="94"/>
      <c r="L173" s="94"/>
      <c r="M173" s="95"/>
      <c r="N173" s="95"/>
      <c r="O173" s="2"/>
      <c r="P173" s="2"/>
      <c r="Q173" s="96"/>
      <c r="R173" s="2"/>
      <c r="S173" s="2"/>
      <c r="T173" s="2"/>
      <c r="U173" s="2"/>
      <c r="V173" s="2"/>
      <c r="W173" s="2"/>
      <c r="X173" s="2"/>
      <c r="Y173" s="3"/>
      <c r="Z173" s="3"/>
    </row>
    <row r="174" ht="13.5" customHeight="1">
      <c r="A174" s="3"/>
      <c r="B174" s="3"/>
      <c r="C174" s="74"/>
      <c r="D174" s="75"/>
      <c r="E174" s="93"/>
      <c r="F174" s="94"/>
      <c r="G174" s="94"/>
      <c r="H174" s="94"/>
      <c r="I174" s="94"/>
      <c r="J174" s="94"/>
      <c r="K174" s="94"/>
      <c r="L174" s="94"/>
      <c r="M174" s="95"/>
      <c r="N174" s="95"/>
      <c r="O174" s="2"/>
      <c r="P174" s="2"/>
      <c r="Q174" s="96"/>
      <c r="R174" s="2"/>
      <c r="S174" s="2"/>
      <c r="T174" s="2"/>
      <c r="U174" s="2"/>
      <c r="V174" s="2"/>
      <c r="W174" s="2"/>
      <c r="X174" s="2"/>
      <c r="Y174" s="3"/>
      <c r="Z174" s="3"/>
    </row>
    <row r="175" ht="13.5" customHeight="1">
      <c r="A175" s="3"/>
      <c r="B175" s="3"/>
      <c r="C175" s="74"/>
      <c r="D175" s="75"/>
      <c r="E175" s="93"/>
      <c r="F175" s="94"/>
      <c r="G175" s="94"/>
      <c r="H175" s="94"/>
      <c r="I175" s="94"/>
      <c r="J175" s="94"/>
      <c r="K175" s="94"/>
      <c r="L175" s="94"/>
      <c r="M175" s="95"/>
      <c r="N175" s="95"/>
      <c r="O175" s="2"/>
      <c r="P175" s="2"/>
      <c r="Q175" s="96"/>
      <c r="R175" s="2"/>
      <c r="S175" s="2"/>
      <c r="T175" s="2"/>
      <c r="U175" s="2"/>
      <c r="V175" s="2"/>
      <c r="W175" s="2"/>
      <c r="X175" s="2"/>
      <c r="Y175" s="3"/>
      <c r="Z175" s="3"/>
    </row>
    <row r="176" ht="13.5" customHeight="1">
      <c r="A176" s="3"/>
      <c r="B176" s="3"/>
      <c r="C176" s="74"/>
      <c r="D176" s="75"/>
      <c r="E176" s="93"/>
      <c r="F176" s="94"/>
      <c r="G176" s="94"/>
      <c r="H176" s="94"/>
      <c r="I176" s="94"/>
      <c r="J176" s="94"/>
      <c r="K176" s="94"/>
      <c r="L176" s="94"/>
      <c r="M176" s="95"/>
      <c r="N176" s="95"/>
      <c r="O176" s="2"/>
      <c r="P176" s="2"/>
      <c r="Q176" s="96"/>
      <c r="R176" s="2"/>
      <c r="S176" s="2"/>
      <c r="T176" s="2"/>
      <c r="U176" s="2"/>
      <c r="V176" s="2"/>
      <c r="W176" s="2"/>
      <c r="X176" s="2"/>
      <c r="Y176" s="3"/>
      <c r="Z176" s="3"/>
    </row>
    <row r="177" ht="13.5" customHeight="1">
      <c r="A177" s="3"/>
      <c r="B177" s="3"/>
      <c r="C177" s="74"/>
      <c r="D177" s="75"/>
      <c r="E177" s="93"/>
      <c r="F177" s="94"/>
      <c r="G177" s="94"/>
      <c r="H177" s="94"/>
      <c r="I177" s="94"/>
      <c r="J177" s="94"/>
      <c r="K177" s="94"/>
      <c r="L177" s="94"/>
      <c r="M177" s="95"/>
      <c r="N177" s="95"/>
      <c r="O177" s="2"/>
      <c r="P177" s="2"/>
      <c r="Q177" s="96"/>
      <c r="R177" s="2"/>
      <c r="S177" s="2"/>
      <c r="T177" s="2"/>
      <c r="U177" s="2"/>
      <c r="V177" s="2"/>
      <c r="W177" s="2"/>
      <c r="X177" s="2"/>
      <c r="Y177" s="3"/>
      <c r="Z177" s="3"/>
    </row>
    <row r="178" ht="13.5" customHeight="1">
      <c r="A178" s="3"/>
      <c r="B178" s="3"/>
      <c r="C178" s="74"/>
      <c r="D178" s="75"/>
      <c r="E178" s="93"/>
      <c r="F178" s="94"/>
      <c r="G178" s="94"/>
      <c r="H178" s="94"/>
      <c r="I178" s="94"/>
      <c r="J178" s="94"/>
      <c r="K178" s="94"/>
      <c r="L178" s="94"/>
      <c r="M178" s="95"/>
      <c r="N178" s="95"/>
      <c r="O178" s="2"/>
      <c r="P178" s="2"/>
      <c r="Q178" s="96"/>
      <c r="R178" s="2"/>
      <c r="S178" s="2"/>
      <c r="T178" s="2"/>
      <c r="U178" s="2"/>
      <c r="V178" s="2"/>
      <c r="W178" s="2"/>
      <c r="X178" s="2"/>
      <c r="Y178" s="3"/>
      <c r="Z178" s="3"/>
    </row>
    <row r="179" ht="13.5" customHeight="1">
      <c r="A179" s="3"/>
      <c r="B179" s="3"/>
      <c r="C179" s="74"/>
      <c r="D179" s="75"/>
      <c r="E179" s="93"/>
      <c r="F179" s="94"/>
      <c r="G179" s="94"/>
      <c r="H179" s="94"/>
      <c r="I179" s="94"/>
      <c r="J179" s="94"/>
      <c r="K179" s="94"/>
      <c r="L179" s="94"/>
      <c r="M179" s="95"/>
      <c r="N179" s="95"/>
      <c r="O179" s="2"/>
      <c r="P179" s="2"/>
      <c r="Q179" s="96"/>
      <c r="R179" s="2"/>
      <c r="S179" s="2"/>
      <c r="T179" s="2"/>
      <c r="U179" s="2"/>
      <c r="V179" s="2"/>
      <c r="W179" s="2"/>
      <c r="X179" s="2"/>
      <c r="Y179" s="3"/>
      <c r="Z179" s="3"/>
    </row>
    <row r="180" ht="13.5" customHeight="1">
      <c r="A180" s="3"/>
      <c r="B180" s="3"/>
      <c r="C180" s="74"/>
      <c r="D180" s="75"/>
      <c r="E180" s="93"/>
      <c r="F180" s="94"/>
      <c r="G180" s="94"/>
      <c r="H180" s="94"/>
      <c r="I180" s="94"/>
      <c r="J180" s="94"/>
      <c r="K180" s="94"/>
      <c r="L180" s="94"/>
      <c r="M180" s="95"/>
      <c r="N180" s="95"/>
      <c r="O180" s="2"/>
      <c r="P180" s="2"/>
      <c r="Q180" s="96"/>
      <c r="R180" s="2"/>
      <c r="S180" s="2"/>
      <c r="T180" s="2"/>
      <c r="U180" s="2"/>
      <c r="V180" s="2"/>
      <c r="W180" s="2"/>
      <c r="X180" s="2"/>
      <c r="Y180" s="3"/>
      <c r="Z180" s="3"/>
    </row>
    <row r="181" ht="13.5" customHeight="1">
      <c r="A181" s="3"/>
      <c r="B181" s="3"/>
      <c r="C181" s="74"/>
      <c r="D181" s="75"/>
      <c r="E181" s="93"/>
      <c r="F181" s="94"/>
      <c r="G181" s="94"/>
      <c r="H181" s="94"/>
      <c r="I181" s="94"/>
      <c r="J181" s="94"/>
      <c r="K181" s="94"/>
      <c r="L181" s="94"/>
      <c r="M181" s="95"/>
      <c r="N181" s="95"/>
      <c r="O181" s="2"/>
      <c r="P181" s="2"/>
      <c r="Q181" s="96"/>
      <c r="R181" s="2"/>
      <c r="S181" s="2"/>
      <c r="T181" s="2"/>
      <c r="U181" s="2"/>
      <c r="V181" s="2"/>
      <c r="W181" s="2"/>
      <c r="X181" s="2"/>
      <c r="Y181" s="3"/>
      <c r="Z181" s="3"/>
    </row>
    <row r="182" ht="13.5" customHeight="1">
      <c r="A182" s="3"/>
      <c r="B182" s="3"/>
      <c r="C182" s="74"/>
      <c r="D182" s="75"/>
      <c r="E182" s="93"/>
      <c r="F182" s="94"/>
      <c r="G182" s="94"/>
      <c r="H182" s="94"/>
      <c r="I182" s="94"/>
      <c r="J182" s="94"/>
      <c r="K182" s="94"/>
      <c r="L182" s="94"/>
      <c r="M182" s="95"/>
      <c r="N182" s="95"/>
      <c r="O182" s="2"/>
      <c r="P182" s="2"/>
      <c r="Q182" s="96"/>
      <c r="R182" s="2"/>
      <c r="S182" s="2"/>
      <c r="T182" s="2"/>
      <c r="U182" s="2"/>
      <c r="V182" s="2"/>
      <c r="W182" s="2"/>
      <c r="X182" s="2"/>
      <c r="Y182" s="3"/>
      <c r="Z182" s="3"/>
    </row>
    <row r="183" ht="13.5" customHeight="1">
      <c r="A183" s="3"/>
      <c r="B183" s="3"/>
      <c r="C183" s="74"/>
      <c r="D183" s="75"/>
      <c r="E183" s="93"/>
      <c r="F183" s="94"/>
      <c r="G183" s="94"/>
      <c r="H183" s="94"/>
      <c r="I183" s="94"/>
      <c r="J183" s="94"/>
      <c r="K183" s="94"/>
      <c r="L183" s="94"/>
      <c r="M183" s="95"/>
      <c r="N183" s="95"/>
      <c r="O183" s="2"/>
      <c r="P183" s="2"/>
      <c r="Q183" s="96"/>
      <c r="R183" s="2"/>
      <c r="S183" s="2"/>
      <c r="T183" s="2"/>
      <c r="U183" s="2"/>
      <c r="V183" s="2"/>
      <c r="W183" s="2"/>
      <c r="X183" s="2"/>
      <c r="Y183" s="3"/>
      <c r="Z183" s="3"/>
    </row>
    <row r="184" ht="13.5" customHeight="1">
      <c r="A184" s="3"/>
      <c r="B184" s="3"/>
      <c r="C184" s="74"/>
      <c r="D184" s="75"/>
      <c r="E184" s="93"/>
      <c r="F184" s="94"/>
      <c r="G184" s="94"/>
      <c r="H184" s="94"/>
      <c r="I184" s="94"/>
      <c r="J184" s="94"/>
      <c r="K184" s="94"/>
      <c r="L184" s="94"/>
      <c r="M184" s="95"/>
      <c r="N184" s="95"/>
      <c r="O184" s="2"/>
      <c r="P184" s="2"/>
      <c r="Q184" s="96"/>
      <c r="R184" s="2"/>
      <c r="S184" s="2"/>
      <c r="T184" s="2"/>
      <c r="U184" s="2"/>
      <c r="V184" s="2"/>
      <c r="W184" s="2"/>
      <c r="X184" s="2"/>
      <c r="Y184" s="3"/>
      <c r="Z184" s="3"/>
    </row>
    <row r="185" ht="13.5" customHeight="1">
      <c r="A185" s="3"/>
      <c r="B185" s="3"/>
      <c r="C185" s="74"/>
      <c r="D185" s="75"/>
      <c r="E185" s="93"/>
      <c r="F185" s="94"/>
      <c r="G185" s="94"/>
      <c r="H185" s="94"/>
      <c r="I185" s="94"/>
      <c r="J185" s="94"/>
      <c r="K185" s="94"/>
      <c r="L185" s="94"/>
      <c r="M185" s="95"/>
      <c r="N185" s="95"/>
      <c r="O185" s="2"/>
      <c r="P185" s="2"/>
      <c r="Q185" s="96"/>
      <c r="R185" s="2"/>
      <c r="S185" s="2"/>
      <c r="T185" s="2"/>
      <c r="U185" s="2"/>
      <c r="V185" s="2"/>
      <c r="W185" s="2"/>
      <c r="X185" s="2"/>
      <c r="Y185" s="3"/>
      <c r="Z185" s="3"/>
    </row>
    <row r="186" ht="13.5" customHeight="1">
      <c r="A186" s="3"/>
      <c r="B186" s="3"/>
      <c r="C186" s="74"/>
      <c r="D186" s="75"/>
      <c r="E186" s="93"/>
      <c r="F186" s="94"/>
      <c r="G186" s="94"/>
      <c r="H186" s="94"/>
      <c r="I186" s="94"/>
      <c r="J186" s="94"/>
      <c r="K186" s="94"/>
      <c r="L186" s="94"/>
      <c r="M186" s="95"/>
      <c r="N186" s="95"/>
      <c r="O186" s="2"/>
      <c r="P186" s="2"/>
      <c r="Q186" s="96"/>
      <c r="R186" s="2"/>
      <c r="S186" s="2"/>
      <c r="T186" s="2"/>
      <c r="U186" s="2"/>
      <c r="V186" s="2"/>
      <c r="W186" s="2"/>
      <c r="X186" s="2"/>
      <c r="Y186" s="3"/>
      <c r="Z186" s="3"/>
    </row>
    <row r="187" ht="13.5" customHeight="1">
      <c r="A187" s="3"/>
      <c r="B187" s="3"/>
      <c r="C187" s="74"/>
      <c r="D187" s="75"/>
      <c r="E187" s="93"/>
      <c r="F187" s="94"/>
      <c r="G187" s="94"/>
      <c r="H187" s="94"/>
      <c r="I187" s="94"/>
      <c r="J187" s="94"/>
      <c r="K187" s="94"/>
      <c r="L187" s="94"/>
      <c r="M187" s="95"/>
      <c r="N187" s="95"/>
      <c r="O187" s="2"/>
      <c r="P187" s="2"/>
      <c r="Q187" s="96"/>
      <c r="R187" s="2"/>
      <c r="S187" s="2"/>
      <c r="T187" s="2"/>
      <c r="U187" s="2"/>
      <c r="V187" s="2"/>
      <c r="W187" s="2"/>
      <c r="X187" s="2"/>
      <c r="Y187" s="3"/>
      <c r="Z187" s="3"/>
    </row>
    <row r="188" ht="13.5" customHeight="1">
      <c r="A188" s="3"/>
      <c r="B188" s="3"/>
      <c r="C188" s="74"/>
      <c r="D188" s="75"/>
      <c r="E188" s="93"/>
      <c r="F188" s="94"/>
      <c r="G188" s="94"/>
      <c r="H188" s="94"/>
      <c r="I188" s="94"/>
      <c r="J188" s="94"/>
      <c r="K188" s="94"/>
      <c r="L188" s="94"/>
      <c r="M188" s="95"/>
      <c r="N188" s="95"/>
      <c r="O188" s="2"/>
      <c r="P188" s="2"/>
      <c r="Q188" s="96"/>
      <c r="R188" s="2"/>
      <c r="S188" s="2"/>
      <c r="T188" s="2"/>
      <c r="U188" s="2"/>
      <c r="V188" s="2"/>
      <c r="W188" s="2"/>
      <c r="X188" s="2"/>
      <c r="Y188" s="3"/>
      <c r="Z188" s="3"/>
    </row>
    <row r="189" ht="13.5" customHeight="1">
      <c r="A189" s="3"/>
      <c r="B189" s="3"/>
      <c r="C189" s="74"/>
      <c r="D189" s="75"/>
      <c r="E189" s="93"/>
      <c r="F189" s="94"/>
      <c r="G189" s="94"/>
      <c r="H189" s="94"/>
      <c r="I189" s="94"/>
      <c r="J189" s="94"/>
      <c r="K189" s="94"/>
      <c r="L189" s="94"/>
      <c r="M189" s="95"/>
      <c r="N189" s="95"/>
      <c r="O189" s="2"/>
      <c r="P189" s="2"/>
      <c r="Q189" s="96"/>
      <c r="R189" s="2"/>
      <c r="S189" s="2"/>
      <c r="T189" s="2"/>
      <c r="U189" s="2"/>
      <c r="V189" s="2"/>
      <c r="W189" s="2"/>
      <c r="X189" s="2"/>
      <c r="Y189" s="3"/>
      <c r="Z189" s="3"/>
    </row>
    <row r="190" ht="13.5" customHeight="1">
      <c r="A190" s="3"/>
      <c r="B190" s="3"/>
      <c r="C190" s="74"/>
      <c r="D190" s="75"/>
      <c r="E190" s="93"/>
      <c r="F190" s="94"/>
      <c r="G190" s="94"/>
      <c r="H190" s="94"/>
      <c r="I190" s="94"/>
      <c r="J190" s="94"/>
      <c r="K190" s="94"/>
      <c r="L190" s="94"/>
      <c r="M190" s="95"/>
      <c r="N190" s="95"/>
      <c r="O190" s="2"/>
      <c r="P190" s="2"/>
      <c r="Q190" s="96"/>
      <c r="R190" s="2"/>
      <c r="S190" s="2"/>
      <c r="T190" s="2"/>
      <c r="U190" s="2"/>
      <c r="V190" s="2"/>
      <c r="W190" s="2"/>
      <c r="X190" s="2"/>
      <c r="Y190" s="3"/>
      <c r="Z190" s="3"/>
    </row>
    <row r="191" ht="13.5" customHeight="1">
      <c r="A191" s="3"/>
      <c r="B191" s="3"/>
      <c r="C191" s="74"/>
      <c r="D191" s="75"/>
      <c r="E191" s="93"/>
      <c r="F191" s="94"/>
      <c r="G191" s="94"/>
      <c r="H191" s="94"/>
      <c r="I191" s="94"/>
      <c r="J191" s="94"/>
      <c r="K191" s="94"/>
      <c r="L191" s="94"/>
      <c r="M191" s="95"/>
      <c r="N191" s="95"/>
      <c r="O191" s="2"/>
      <c r="P191" s="2"/>
      <c r="Q191" s="96"/>
      <c r="R191" s="2"/>
      <c r="S191" s="2"/>
      <c r="T191" s="2"/>
      <c r="U191" s="2"/>
      <c r="V191" s="2"/>
      <c r="W191" s="2"/>
      <c r="X191" s="2"/>
      <c r="Y191" s="3"/>
      <c r="Z191" s="3"/>
    </row>
    <row r="192" ht="13.5" customHeight="1">
      <c r="A192" s="3"/>
      <c r="B192" s="3"/>
      <c r="C192" s="74"/>
      <c r="D192" s="75"/>
      <c r="E192" s="93"/>
      <c r="F192" s="94"/>
      <c r="G192" s="94"/>
      <c r="H192" s="94"/>
      <c r="I192" s="94"/>
      <c r="J192" s="94"/>
      <c r="K192" s="94"/>
      <c r="L192" s="94"/>
      <c r="M192" s="95"/>
      <c r="N192" s="95"/>
      <c r="O192" s="2"/>
      <c r="P192" s="2"/>
      <c r="Q192" s="96"/>
      <c r="R192" s="2"/>
      <c r="S192" s="2"/>
      <c r="T192" s="2"/>
      <c r="U192" s="2"/>
      <c r="V192" s="2"/>
      <c r="W192" s="2"/>
      <c r="X192" s="2"/>
      <c r="Y192" s="3"/>
      <c r="Z192" s="3"/>
    </row>
    <row r="193" ht="13.5" customHeight="1">
      <c r="A193" s="3"/>
      <c r="B193" s="3"/>
      <c r="C193" s="74"/>
      <c r="D193" s="75"/>
      <c r="E193" s="93"/>
      <c r="F193" s="94"/>
      <c r="G193" s="94"/>
      <c r="H193" s="94"/>
      <c r="I193" s="94"/>
      <c r="J193" s="94"/>
      <c r="K193" s="94"/>
      <c r="L193" s="94"/>
      <c r="M193" s="95"/>
      <c r="N193" s="95"/>
      <c r="O193" s="2"/>
      <c r="P193" s="2"/>
      <c r="Q193" s="96"/>
      <c r="R193" s="2"/>
      <c r="S193" s="2"/>
      <c r="T193" s="2"/>
      <c r="U193" s="2"/>
      <c r="V193" s="2"/>
      <c r="W193" s="2"/>
      <c r="X193" s="2"/>
      <c r="Y193" s="3"/>
      <c r="Z193" s="3"/>
    </row>
    <row r="194" ht="13.5" customHeight="1">
      <c r="A194" s="3"/>
      <c r="B194" s="3"/>
      <c r="C194" s="74"/>
      <c r="D194" s="75"/>
      <c r="E194" s="93"/>
      <c r="F194" s="94"/>
      <c r="G194" s="94"/>
      <c r="H194" s="94"/>
      <c r="I194" s="94"/>
      <c r="J194" s="94"/>
      <c r="K194" s="94"/>
      <c r="L194" s="94"/>
      <c r="M194" s="95"/>
      <c r="N194" s="95"/>
      <c r="O194" s="2"/>
      <c r="P194" s="2"/>
      <c r="Q194" s="96"/>
      <c r="R194" s="2"/>
      <c r="S194" s="2"/>
      <c r="T194" s="2"/>
      <c r="U194" s="2"/>
      <c r="V194" s="2"/>
      <c r="W194" s="2"/>
      <c r="X194" s="2"/>
      <c r="Y194" s="3"/>
      <c r="Z194" s="3"/>
    </row>
    <row r="195" ht="13.5" customHeight="1">
      <c r="A195" s="3"/>
      <c r="B195" s="3"/>
      <c r="C195" s="74"/>
      <c r="D195" s="75"/>
      <c r="E195" s="93"/>
      <c r="F195" s="94"/>
      <c r="G195" s="94"/>
      <c r="H195" s="94"/>
      <c r="I195" s="94"/>
      <c r="J195" s="94"/>
      <c r="K195" s="94"/>
      <c r="L195" s="94"/>
      <c r="M195" s="95"/>
      <c r="N195" s="95"/>
      <c r="O195" s="2"/>
      <c r="P195" s="2"/>
      <c r="Q195" s="96"/>
      <c r="R195" s="2"/>
      <c r="S195" s="2"/>
      <c r="T195" s="2"/>
      <c r="U195" s="2"/>
      <c r="V195" s="2"/>
      <c r="W195" s="2"/>
      <c r="X195" s="2"/>
      <c r="Y195" s="3"/>
      <c r="Z195" s="3"/>
    </row>
    <row r="196" ht="13.5" customHeight="1">
      <c r="A196" s="3"/>
      <c r="B196" s="3"/>
      <c r="C196" s="74"/>
      <c r="D196" s="75"/>
      <c r="E196" s="93"/>
      <c r="F196" s="94"/>
      <c r="G196" s="94"/>
      <c r="H196" s="94"/>
      <c r="I196" s="94"/>
      <c r="J196" s="94"/>
      <c r="K196" s="94"/>
      <c r="L196" s="94"/>
      <c r="M196" s="95"/>
      <c r="N196" s="95"/>
      <c r="O196" s="2"/>
      <c r="P196" s="2"/>
      <c r="Q196" s="96"/>
      <c r="R196" s="2"/>
      <c r="S196" s="2"/>
      <c r="T196" s="2"/>
      <c r="U196" s="2"/>
      <c r="V196" s="2"/>
      <c r="W196" s="2"/>
      <c r="X196" s="2"/>
      <c r="Y196" s="3"/>
      <c r="Z196" s="3"/>
    </row>
    <row r="197" ht="13.5" customHeight="1">
      <c r="A197" s="3"/>
      <c r="B197" s="3"/>
      <c r="C197" s="74"/>
      <c r="D197" s="75"/>
      <c r="E197" s="93"/>
      <c r="F197" s="94"/>
      <c r="G197" s="94"/>
      <c r="H197" s="94"/>
      <c r="I197" s="94"/>
      <c r="J197" s="94"/>
      <c r="K197" s="94"/>
      <c r="L197" s="94"/>
      <c r="M197" s="95"/>
      <c r="N197" s="95"/>
      <c r="O197" s="2"/>
      <c r="P197" s="2"/>
      <c r="Q197" s="96"/>
      <c r="R197" s="2"/>
      <c r="S197" s="2"/>
      <c r="T197" s="2"/>
      <c r="U197" s="2"/>
      <c r="V197" s="2"/>
      <c r="W197" s="2"/>
      <c r="X197" s="2"/>
      <c r="Y197" s="3"/>
      <c r="Z197" s="3"/>
    </row>
    <row r="198" ht="13.5" customHeight="1">
      <c r="A198" s="3"/>
      <c r="B198" s="3"/>
      <c r="C198" s="74"/>
      <c r="D198" s="75"/>
      <c r="E198" s="93"/>
      <c r="F198" s="94"/>
      <c r="G198" s="94"/>
      <c r="H198" s="94"/>
      <c r="I198" s="94"/>
      <c r="J198" s="94"/>
      <c r="K198" s="94"/>
      <c r="L198" s="94"/>
      <c r="M198" s="95"/>
      <c r="N198" s="95"/>
      <c r="O198" s="2"/>
      <c r="P198" s="2"/>
      <c r="Q198" s="96"/>
      <c r="R198" s="2"/>
      <c r="S198" s="2"/>
      <c r="T198" s="2"/>
      <c r="U198" s="2"/>
      <c r="V198" s="2"/>
      <c r="W198" s="2"/>
      <c r="X198" s="2"/>
      <c r="Y198" s="3"/>
      <c r="Z198" s="3"/>
    </row>
    <row r="199" ht="13.5" customHeight="1">
      <c r="A199" s="3"/>
      <c r="B199" s="3"/>
      <c r="C199" s="74"/>
      <c r="D199" s="75"/>
      <c r="E199" s="93"/>
      <c r="F199" s="94"/>
      <c r="G199" s="94"/>
      <c r="H199" s="94"/>
      <c r="I199" s="94"/>
      <c r="J199" s="94"/>
      <c r="K199" s="94"/>
      <c r="L199" s="94"/>
      <c r="M199" s="95"/>
      <c r="N199" s="95"/>
      <c r="O199" s="2"/>
      <c r="P199" s="2"/>
      <c r="Q199" s="96"/>
      <c r="R199" s="2"/>
      <c r="S199" s="2"/>
      <c r="T199" s="2"/>
      <c r="U199" s="2"/>
      <c r="V199" s="2"/>
      <c r="W199" s="2"/>
      <c r="X199" s="2"/>
      <c r="Y199" s="3"/>
      <c r="Z199" s="3"/>
    </row>
    <row r="200" ht="13.5" customHeight="1">
      <c r="A200" s="3"/>
      <c r="B200" s="3"/>
      <c r="C200" s="74"/>
      <c r="D200" s="75"/>
      <c r="E200" s="93"/>
      <c r="F200" s="94"/>
      <c r="G200" s="94"/>
      <c r="H200" s="94"/>
      <c r="I200" s="94"/>
      <c r="J200" s="94"/>
      <c r="K200" s="94"/>
      <c r="L200" s="94"/>
      <c r="M200" s="95"/>
      <c r="N200" s="95"/>
      <c r="O200" s="2"/>
      <c r="P200" s="2"/>
      <c r="Q200" s="96"/>
      <c r="R200" s="2"/>
      <c r="S200" s="2"/>
      <c r="T200" s="2"/>
      <c r="U200" s="2"/>
      <c r="V200" s="2"/>
      <c r="W200" s="2"/>
      <c r="X200" s="2"/>
      <c r="Y200" s="3"/>
      <c r="Z200" s="3"/>
    </row>
    <row r="201" ht="13.5" customHeight="1">
      <c r="A201" s="3"/>
      <c r="B201" s="3"/>
      <c r="C201" s="74"/>
      <c r="D201" s="75"/>
      <c r="E201" s="93"/>
      <c r="F201" s="94"/>
      <c r="G201" s="94"/>
      <c r="H201" s="94"/>
      <c r="I201" s="94"/>
      <c r="J201" s="94"/>
      <c r="K201" s="94"/>
      <c r="L201" s="94"/>
      <c r="M201" s="95"/>
      <c r="N201" s="95"/>
      <c r="O201" s="2"/>
      <c r="P201" s="2"/>
      <c r="Q201" s="96"/>
      <c r="R201" s="2"/>
      <c r="S201" s="2"/>
      <c r="T201" s="2"/>
      <c r="U201" s="2"/>
      <c r="V201" s="2"/>
      <c r="W201" s="2"/>
      <c r="X201" s="2"/>
      <c r="Y201" s="3"/>
      <c r="Z201" s="3"/>
    </row>
    <row r="202" ht="13.5" customHeight="1">
      <c r="A202" s="3"/>
      <c r="B202" s="3"/>
      <c r="C202" s="74"/>
      <c r="D202" s="75"/>
      <c r="E202" s="93"/>
      <c r="F202" s="94"/>
      <c r="G202" s="94"/>
      <c r="H202" s="94"/>
      <c r="I202" s="94"/>
      <c r="J202" s="94"/>
      <c r="K202" s="94"/>
      <c r="L202" s="94"/>
      <c r="M202" s="95"/>
      <c r="N202" s="95"/>
      <c r="O202" s="2"/>
      <c r="P202" s="2"/>
      <c r="Q202" s="96"/>
      <c r="R202" s="2"/>
      <c r="S202" s="2"/>
      <c r="T202" s="2"/>
      <c r="U202" s="2"/>
      <c r="V202" s="2"/>
      <c r="W202" s="2"/>
      <c r="X202" s="2"/>
      <c r="Y202" s="3"/>
      <c r="Z202" s="3"/>
    </row>
    <row r="203" ht="13.5" customHeight="1">
      <c r="A203" s="3"/>
      <c r="B203" s="3"/>
      <c r="C203" s="74"/>
      <c r="D203" s="75"/>
      <c r="E203" s="93"/>
      <c r="F203" s="94"/>
      <c r="G203" s="94"/>
      <c r="H203" s="94"/>
      <c r="I203" s="94"/>
      <c r="J203" s="94"/>
      <c r="K203" s="94"/>
      <c r="L203" s="94"/>
      <c r="M203" s="95"/>
      <c r="N203" s="95"/>
      <c r="O203" s="2"/>
      <c r="P203" s="2"/>
      <c r="Q203" s="96"/>
      <c r="R203" s="2"/>
      <c r="S203" s="2"/>
      <c r="T203" s="2"/>
      <c r="U203" s="2"/>
      <c r="V203" s="2"/>
      <c r="W203" s="2"/>
      <c r="X203" s="2"/>
      <c r="Y203" s="3"/>
      <c r="Z203" s="3"/>
    </row>
    <row r="204" ht="13.5" customHeight="1">
      <c r="A204" s="3"/>
      <c r="B204" s="3"/>
      <c r="C204" s="74"/>
      <c r="D204" s="75"/>
      <c r="E204" s="93"/>
      <c r="F204" s="94"/>
      <c r="G204" s="94"/>
      <c r="H204" s="94"/>
      <c r="I204" s="94"/>
      <c r="J204" s="94"/>
      <c r="K204" s="94"/>
      <c r="L204" s="94"/>
      <c r="M204" s="95"/>
      <c r="N204" s="95"/>
      <c r="O204" s="2"/>
      <c r="P204" s="2"/>
      <c r="Q204" s="96"/>
      <c r="R204" s="2"/>
      <c r="S204" s="2"/>
      <c r="T204" s="2"/>
      <c r="U204" s="2"/>
      <c r="V204" s="2"/>
      <c r="W204" s="2"/>
      <c r="X204" s="2"/>
      <c r="Y204" s="3"/>
      <c r="Z204" s="3"/>
    </row>
    <row r="205" ht="13.5" customHeight="1">
      <c r="A205" s="3"/>
      <c r="B205" s="3"/>
      <c r="C205" s="74"/>
      <c r="D205" s="75"/>
      <c r="E205" s="93"/>
      <c r="F205" s="94"/>
      <c r="G205" s="94"/>
      <c r="H205" s="94"/>
      <c r="I205" s="94"/>
      <c r="J205" s="94"/>
      <c r="K205" s="94"/>
      <c r="L205" s="94"/>
      <c r="M205" s="95"/>
      <c r="N205" s="95"/>
      <c r="O205" s="2"/>
      <c r="P205" s="2"/>
      <c r="Q205" s="96"/>
      <c r="R205" s="2"/>
      <c r="S205" s="2"/>
      <c r="T205" s="2"/>
      <c r="U205" s="2"/>
      <c r="V205" s="2"/>
      <c r="W205" s="2"/>
      <c r="X205" s="2"/>
      <c r="Y205" s="3"/>
      <c r="Z205" s="3"/>
    </row>
    <row r="206" ht="13.5" customHeight="1">
      <c r="A206" s="3"/>
      <c r="B206" s="3"/>
      <c r="C206" s="74"/>
      <c r="D206" s="75"/>
      <c r="E206" s="93"/>
      <c r="F206" s="94"/>
      <c r="G206" s="94"/>
      <c r="H206" s="94"/>
      <c r="I206" s="94"/>
      <c r="J206" s="94"/>
      <c r="K206" s="94"/>
      <c r="L206" s="94"/>
      <c r="M206" s="95"/>
      <c r="N206" s="95"/>
      <c r="O206" s="2"/>
      <c r="P206" s="2"/>
      <c r="Q206" s="96"/>
      <c r="R206" s="2"/>
      <c r="S206" s="2"/>
      <c r="T206" s="2"/>
      <c r="U206" s="2"/>
      <c r="V206" s="2"/>
      <c r="W206" s="2"/>
      <c r="X206" s="2"/>
      <c r="Y206" s="3"/>
      <c r="Z206" s="3"/>
    </row>
    <row r="207" ht="13.5" customHeight="1">
      <c r="A207" s="3"/>
      <c r="B207" s="3"/>
      <c r="C207" s="74"/>
      <c r="D207" s="75"/>
      <c r="E207" s="93"/>
      <c r="F207" s="94"/>
      <c r="G207" s="94"/>
      <c r="H207" s="94"/>
      <c r="I207" s="94"/>
      <c r="J207" s="94"/>
      <c r="K207" s="94"/>
      <c r="L207" s="94"/>
      <c r="M207" s="95"/>
      <c r="N207" s="95"/>
      <c r="O207" s="2"/>
      <c r="P207" s="2"/>
      <c r="Q207" s="96"/>
      <c r="R207" s="2"/>
      <c r="S207" s="2"/>
      <c r="T207" s="2"/>
      <c r="U207" s="2"/>
      <c r="V207" s="2"/>
      <c r="W207" s="2"/>
      <c r="X207" s="2"/>
      <c r="Y207" s="3"/>
      <c r="Z207" s="3"/>
    </row>
    <row r="208" ht="13.5" customHeight="1">
      <c r="A208" s="3"/>
      <c r="B208" s="3"/>
      <c r="C208" s="74"/>
      <c r="D208" s="75"/>
      <c r="E208" s="93"/>
      <c r="F208" s="94"/>
      <c r="G208" s="94"/>
      <c r="H208" s="94"/>
      <c r="I208" s="94"/>
      <c r="J208" s="94"/>
      <c r="K208" s="94"/>
      <c r="L208" s="94"/>
      <c r="M208" s="95"/>
      <c r="N208" s="95"/>
      <c r="O208" s="2"/>
      <c r="P208" s="2"/>
      <c r="Q208" s="96"/>
      <c r="R208" s="2"/>
      <c r="S208" s="2"/>
      <c r="T208" s="2"/>
      <c r="U208" s="2"/>
      <c r="V208" s="2"/>
      <c r="W208" s="2"/>
      <c r="X208" s="2"/>
      <c r="Y208" s="3"/>
      <c r="Z208" s="3"/>
    </row>
    <row r="209" ht="13.5" customHeight="1">
      <c r="A209" s="3"/>
      <c r="B209" s="3"/>
      <c r="C209" s="74"/>
      <c r="D209" s="75"/>
      <c r="E209" s="93"/>
      <c r="F209" s="94"/>
      <c r="G209" s="94"/>
      <c r="H209" s="94"/>
      <c r="I209" s="94"/>
      <c r="J209" s="94"/>
      <c r="K209" s="94"/>
      <c r="L209" s="94"/>
      <c r="M209" s="95"/>
      <c r="N209" s="95"/>
      <c r="O209" s="2"/>
      <c r="P209" s="2"/>
      <c r="Q209" s="96"/>
      <c r="R209" s="2"/>
      <c r="S209" s="2"/>
      <c r="T209" s="2"/>
      <c r="U209" s="2"/>
      <c r="V209" s="2"/>
      <c r="W209" s="2"/>
      <c r="X209" s="2"/>
      <c r="Y209" s="3"/>
      <c r="Z209" s="3"/>
    </row>
    <row r="210" ht="13.5" customHeight="1">
      <c r="A210" s="3"/>
      <c r="B210" s="3"/>
      <c r="C210" s="74"/>
      <c r="D210" s="75"/>
      <c r="E210" s="93"/>
      <c r="F210" s="94"/>
      <c r="G210" s="94"/>
      <c r="H210" s="94"/>
      <c r="I210" s="94"/>
      <c r="J210" s="94"/>
      <c r="K210" s="94"/>
      <c r="L210" s="94"/>
      <c r="M210" s="95"/>
      <c r="N210" s="95"/>
      <c r="O210" s="2"/>
      <c r="P210" s="2"/>
      <c r="Q210" s="96"/>
      <c r="R210" s="2"/>
      <c r="S210" s="2"/>
      <c r="T210" s="2"/>
      <c r="U210" s="2"/>
      <c r="V210" s="2"/>
      <c r="W210" s="2"/>
      <c r="X210" s="2"/>
      <c r="Y210" s="3"/>
      <c r="Z210" s="3"/>
    </row>
    <row r="211" ht="13.5" customHeight="1">
      <c r="A211" s="3"/>
      <c r="B211" s="3"/>
      <c r="C211" s="74"/>
      <c r="D211" s="75"/>
      <c r="E211" s="93"/>
      <c r="F211" s="94"/>
      <c r="G211" s="94"/>
      <c r="H211" s="94"/>
      <c r="I211" s="94"/>
      <c r="J211" s="94"/>
      <c r="K211" s="94"/>
      <c r="L211" s="94"/>
      <c r="M211" s="95"/>
      <c r="N211" s="95"/>
      <c r="O211" s="2"/>
      <c r="P211" s="2"/>
      <c r="Q211" s="96"/>
      <c r="R211" s="2"/>
      <c r="S211" s="2"/>
      <c r="T211" s="2"/>
      <c r="U211" s="2"/>
      <c r="V211" s="2"/>
      <c r="W211" s="2"/>
      <c r="X211" s="2"/>
      <c r="Y211" s="3"/>
      <c r="Z211" s="3"/>
    </row>
    <row r="212" ht="13.5" customHeight="1">
      <c r="A212" s="3"/>
      <c r="B212" s="3"/>
      <c r="C212" s="74"/>
      <c r="D212" s="75"/>
      <c r="E212" s="93"/>
      <c r="F212" s="94"/>
      <c r="G212" s="94"/>
      <c r="H212" s="94"/>
      <c r="I212" s="94"/>
      <c r="J212" s="94"/>
      <c r="K212" s="94"/>
      <c r="L212" s="94"/>
      <c r="M212" s="95"/>
      <c r="N212" s="95"/>
      <c r="O212" s="2"/>
      <c r="P212" s="2"/>
      <c r="Q212" s="96"/>
      <c r="R212" s="2"/>
      <c r="S212" s="2"/>
      <c r="T212" s="2"/>
      <c r="U212" s="2"/>
      <c r="V212" s="2"/>
      <c r="W212" s="2"/>
      <c r="X212" s="2"/>
      <c r="Y212" s="3"/>
      <c r="Z212" s="3"/>
    </row>
    <row r="213" ht="13.5" customHeight="1">
      <c r="A213" s="3"/>
      <c r="B213" s="3"/>
      <c r="C213" s="74"/>
      <c r="D213" s="75"/>
      <c r="E213" s="93"/>
      <c r="F213" s="94"/>
      <c r="G213" s="94"/>
      <c r="H213" s="94"/>
      <c r="I213" s="94"/>
      <c r="J213" s="94"/>
      <c r="K213" s="94"/>
      <c r="L213" s="94"/>
      <c r="M213" s="95"/>
      <c r="N213" s="95"/>
      <c r="O213" s="2"/>
      <c r="P213" s="2"/>
      <c r="Q213" s="96"/>
      <c r="R213" s="2"/>
      <c r="S213" s="2"/>
      <c r="T213" s="2"/>
      <c r="U213" s="2"/>
      <c r="V213" s="2"/>
      <c r="W213" s="2"/>
      <c r="X213" s="2"/>
      <c r="Y213" s="3"/>
      <c r="Z213" s="3"/>
    </row>
    <row r="214" ht="13.5" customHeight="1">
      <c r="A214" s="3"/>
      <c r="B214" s="3"/>
      <c r="C214" s="74"/>
      <c r="D214" s="75"/>
      <c r="E214" s="93"/>
      <c r="F214" s="94"/>
      <c r="G214" s="94"/>
      <c r="H214" s="94"/>
      <c r="I214" s="94"/>
      <c r="J214" s="94"/>
      <c r="K214" s="94"/>
      <c r="L214" s="94"/>
      <c r="M214" s="95"/>
      <c r="N214" s="95"/>
      <c r="O214" s="2"/>
      <c r="P214" s="2"/>
      <c r="Q214" s="96"/>
      <c r="R214" s="2"/>
      <c r="S214" s="2"/>
      <c r="T214" s="2"/>
      <c r="U214" s="2"/>
      <c r="V214" s="2"/>
      <c r="W214" s="2"/>
      <c r="X214" s="2"/>
      <c r="Y214" s="3"/>
      <c r="Z214" s="3"/>
    </row>
    <row r="215" ht="13.5" customHeight="1">
      <c r="A215" s="3"/>
      <c r="B215" s="3"/>
      <c r="C215" s="74"/>
      <c r="D215" s="75"/>
      <c r="E215" s="93"/>
      <c r="F215" s="94"/>
      <c r="G215" s="94"/>
      <c r="H215" s="94"/>
      <c r="I215" s="94"/>
      <c r="J215" s="94"/>
      <c r="K215" s="94"/>
      <c r="L215" s="94"/>
      <c r="M215" s="95"/>
      <c r="N215" s="95"/>
      <c r="O215" s="2"/>
      <c r="P215" s="2"/>
      <c r="Q215" s="96"/>
      <c r="R215" s="2"/>
      <c r="S215" s="2"/>
      <c r="T215" s="2"/>
      <c r="U215" s="2"/>
      <c r="V215" s="2"/>
      <c r="W215" s="2"/>
      <c r="X215" s="2"/>
      <c r="Y215" s="3"/>
      <c r="Z215" s="3"/>
    </row>
    <row r="216" ht="13.5" customHeight="1">
      <c r="A216" s="3"/>
      <c r="B216" s="3"/>
      <c r="C216" s="74"/>
      <c r="D216" s="75"/>
      <c r="E216" s="93"/>
      <c r="F216" s="94"/>
      <c r="G216" s="94"/>
      <c r="H216" s="94"/>
      <c r="I216" s="94"/>
      <c r="J216" s="94"/>
      <c r="K216" s="94"/>
      <c r="L216" s="94"/>
      <c r="M216" s="95"/>
      <c r="N216" s="95"/>
      <c r="O216" s="2"/>
      <c r="P216" s="2"/>
      <c r="Q216" s="96"/>
      <c r="R216" s="2"/>
      <c r="S216" s="2"/>
      <c r="T216" s="2"/>
      <c r="U216" s="2"/>
      <c r="V216" s="2"/>
      <c r="W216" s="2"/>
      <c r="X216" s="2"/>
      <c r="Y216" s="3"/>
      <c r="Z216" s="3"/>
    </row>
    <row r="217" ht="13.5" customHeight="1">
      <c r="A217" s="3"/>
      <c r="B217" s="3"/>
      <c r="C217" s="74"/>
      <c r="D217" s="75"/>
      <c r="E217" s="93"/>
      <c r="F217" s="94"/>
      <c r="G217" s="94"/>
      <c r="H217" s="94"/>
      <c r="I217" s="94"/>
      <c r="J217" s="94"/>
      <c r="K217" s="94"/>
      <c r="L217" s="94"/>
      <c r="M217" s="95"/>
      <c r="N217" s="95"/>
      <c r="O217" s="2"/>
      <c r="P217" s="2"/>
      <c r="Q217" s="96"/>
      <c r="R217" s="2"/>
      <c r="S217" s="2"/>
      <c r="T217" s="2"/>
      <c r="U217" s="2"/>
      <c r="V217" s="2"/>
      <c r="W217" s="2"/>
      <c r="X217" s="2"/>
      <c r="Y217" s="3"/>
      <c r="Z217" s="3"/>
    </row>
    <row r="218" ht="13.5" customHeight="1">
      <c r="A218" s="3"/>
      <c r="B218" s="3"/>
      <c r="C218" s="74"/>
      <c r="D218" s="75"/>
      <c r="E218" s="93"/>
      <c r="F218" s="94"/>
      <c r="G218" s="94"/>
      <c r="H218" s="94"/>
      <c r="I218" s="94"/>
      <c r="J218" s="94"/>
      <c r="K218" s="94"/>
      <c r="L218" s="94"/>
      <c r="M218" s="95"/>
      <c r="N218" s="95"/>
      <c r="O218" s="2"/>
      <c r="P218" s="2"/>
      <c r="Q218" s="96"/>
      <c r="R218" s="2"/>
      <c r="S218" s="2"/>
      <c r="T218" s="2"/>
      <c r="U218" s="2"/>
      <c r="V218" s="2"/>
      <c r="W218" s="2"/>
      <c r="X218" s="2"/>
      <c r="Y218" s="3"/>
      <c r="Z218" s="3"/>
    </row>
    <row r="219" ht="13.5" customHeight="1">
      <c r="A219" s="3"/>
      <c r="B219" s="3"/>
      <c r="C219" s="74"/>
      <c r="D219" s="75"/>
      <c r="E219" s="93"/>
      <c r="F219" s="94"/>
      <c r="G219" s="94"/>
      <c r="H219" s="94"/>
      <c r="I219" s="94"/>
      <c r="J219" s="94"/>
      <c r="K219" s="94"/>
      <c r="L219" s="94"/>
      <c r="M219" s="95"/>
      <c r="N219" s="95"/>
      <c r="O219" s="2"/>
      <c r="P219" s="2"/>
      <c r="Q219" s="96"/>
      <c r="R219" s="2"/>
      <c r="S219" s="2"/>
      <c r="T219" s="2"/>
      <c r="U219" s="2"/>
      <c r="V219" s="2"/>
      <c r="W219" s="2"/>
      <c r="X219" s="2"/>
      <c r="Y219" s="3"/>
      <c r="Z219" s="3"/>
    </row>
    <row r="220" ht="13.5" customHeight="1">
      <c r="A220" s="3"/>
      <c r="B220" s="3"/>
      <c r="C220" s="74"/>
      <c r="D220" s="75"/>
      <c r="E220" s="93"/>
      <c r="F220" s="94"/>
      <c r="G220" s="94"/>
      <c r="H220" s="94"/>
      <c r="I220" s="94"/>
      <c r="J220" s="94"/>
      <c r="K220" s="94"/>
      <c r="L220" s="94"/>
      <c r="M220" s="95"/>
      <c r="N220" s="95"/>
      <c r="O220" s="2"/>
      <c r="P220" s="2"/>
      <c r="Q220" s="96"/>
      <c r="R220" s="2"/>
      <c r="S220" s="2"/>
      <c r="T220" s="2"/>
      <c r="U220" s="2"/>
      <c r="V220" s="2"/>
      <c r="W220" s="2"/>
      <c r="X220" s="2"/>
      <c r="Y220" s="3"/>
      <c r="Z220" s="3"/>
    </row>
    <row r="221" ht="13.5" customHeight="1">
      <c r="A221" s="3"/>
      <c r="B221" s="3"/>
      <c r="C221" s="74"/>
      <c r="D221" s="75"/>
      <c r="E221" s="93"/>
      <c r="F221" s="94"/>
      <c r="G221" s="94"/>
      <c r="H221" s="94"/>
      <c r="I221" s="94"/>
      <c r="J221" s="94"/>
      <c r="K221" s="94"/>
      <c r="L221" s="94"/>
      <c r="M221" s="95"/>
      <c r="N221" s="95"/>
      <c r="O221" s="2"/>
      <c r="P221" s="2"/>
      <c r="Q221" s="96"/>
      <c r="R221" s="2"/>
      <c r="S221" s="2"/>
      <c r="T221" s="2"/>
      <c r="U221" s="2"/>
      <c r="V221" s="2"/>
      <c r="W221" s="2"/>
      <c r="X221" s="2"/>
      <c r="Y221" s="3"/>
      <c r="Z221" s="3"/>
    </row>
    <row r="222" ht="13.5" customHeight="1">
      <c r="A222" s="3"/>
      <c r="B222" s="3"/>
      <c r="C222" s="74"/>
      <c r="D222" s="75"/>
      <c r="E222" s="93"/>
      <c r="F222" s="94"/>
      <c r="G222" s="94"/>
      <c r="H222" s="94"/>
      <c r="I222" s="94"/>
      <c r="J222" s="94"/>
      <c r="K222" s="94"/>
      <c r="L222" s="94"/>
      <c r="M222" s="95"/>
      <c r="N222" s="95"/>
      <c r="O222" s="2"/>
      <c r="P222" s="2"/>
      <c r="Q222" s="96"/>
      <c r="R222" s="2"/>
      <c r="S222" s="2"/>
      <c r="T222" s="2"/>
      <c r="U222" s="2"/>
      <c r="V222" s="2"/>
      <c r="W222" s="2"/>
      <c r="X222" s="2"/>
      <c r="Y222" s="3"/>
      <c r="Z222" s="3"/>
    </row>
    <row r="223" ht="13.5" customHeight="1">
      <c r="A223" s="3"/>
      <c r="B223" s="3"/>
      <c r="C223" s="74"/>
      <c r="D223" s="75"/>
      <c r="E223" s="93"/>
      <c r="F223" s="94"/>
      <c r="G223" s="94"/>
      <c r="H223" s="94"/>
      <c r="I223" s="94"/>
      <c r="J223" s="94"/>
      <c r="K223" s="94"/>
      <c r="L223" s="94"/>
      <c r="M223" s="95"/>
      <c r="N223" s="95"/>
      <c r="O223" s="2"/>
      <c r="P223" s="2"/>
      <c r="Q223" s="96"/>
      <c r="R223" s="2"/>
      <c r="S223" s="2"/>
      <c r="T223" s="2"/>
      <c r="U223" s="2"/>
      <c r="V223" s="2"/>
      <c r="W223" s="2"/>
      <c r="X223" s="2"/>
      <c r="Y223" s="3"/>
      <c r="Z223" s="3"/>
    </row>
    <row r="224" ht="13.5" customHeight="1">
      <c r="A224" s="3"/>
      <c r="B224" s="3"/>
      <c r="C224" s="74"/>
      <c r="D224" s="75"/>
      <c r="E224" s="93"/>
      <c r="F224" s="94"/>
      <c r="G224" s="94"/>
      <c r="H224" s="94"/>
      <c r="I224" s="94"/>
      <c r="J224" s="94"/>
      <c r="K224" s="94"/>
      <c r="L224" s="94"/>
      <c r="M224" s="95"/>
      <c r="N224" s="95"/>
      <c r="O224" s="2"/>
      <c r="P224" s="2"/>
      <c r="Q224" s="96"/>
      <c r="R224" s="2"/>
      <c r="S224" s="2"/>
      <c r="T224" s="2"/>
      <c r="U224" s="2"/>
      <c r="V224" s="2"/>
      <c r="W224" s="2"/>
      <c r="X224" s="2"/>
      <c r="Y224" s="3"/>
      <c r="Z224" s="3"/>
    </row>
    <row r="225" ht="13.5" customHeight="1">
      <c r="A225" s="3"/>
      <c r="B225" s="3"/>
      <c r="C225" s="74"/>
      <c r="D225" s="75"/>
      <c r="E225" s="93"/>
      <c r="F225" s="94"/>
      <c r="G225" s="94"/>
      <c r="H225" s="94"/>
      <c r="I225" s="94"/>
      <c r="J225" s="94"/>
      <c r="K225" s="94"/>
      <c r="L225" s="94"/>
      <c r="M225" s="95"/>
      <c r="N225" s="95"/>
      <c r="O225" s="2"/>
      <c r="P225" s="2"/>
      <c r="Q225" s="96"/>
      <c r="R225" s="2"/>
      <c r="S225" s="2"/>
      <c r="T225" s="2"/>
      <c r="U225" s="2"/>
      <c r="V225" s="2"/>
      <c r="W225" s="2"/>
      <c r="X225" s="2"/>
      <c r="Y225" s="3"/>
      <c r="Z225" s="3"/>
    </row>
    <row r="226" ht="13.5" customHeight="1">
      <c r="A226" s="3"/>
      <c r="B226" s="3"/>
      <c r="C226" s="74"/>
      <c r="D226" s="75"/>
      <c r="E226" s="93"/>
      <c r="F226" s="94"/>
      <c r="G226" s="94"/>
      <c r="H226" s="94"/>
      <c r="I226" s="94"/>
      <c r="J226" s="94"/>
      <c r="K226" s="94"/>
      <c r="L226" s="94"/>
      <c r="M226" s="95"/>
      <c r="N226" s="95"/>
      <c r="O226" s="2"/>
      <c r="P226" s="2"/>
      <c r="Q226" s="96"/>
      <c r="R226" s="2"/>
      <c r="S226" s="2"/>
      <c r="T226" s="2"/>
      <c r="U226" s="2"/>
      <c r="V226" s="2"/>
      <c r="W226" s="2"/>
      <c r="X226" s="2"/>
      <c r="Y226" s="3"/>
      <c r="Z226" s="3"/>
    </row>
    <row r="227" ht="13.5" customHeight="1">
      <c r="A227" s="3"/>
      <c r="B227" s="3"/>
      <c r="C227" s="74"/>
      <c r="D227" s="75"/>
      <c r="E227" s="93"/>
      <c r="F227" s="94"/>
      <c r="G227" s="94"/>
      <c r="H227" s="94"/>
      <c r="I227" s="94"/>
      <c r="J227" s="94"/>
      <c r="K227" s="94"/>
      <c r="L227" s="94"/>
      <c r="M227" s="95"/>
      <c r="N227" s="95"/>
      <c r="O227" s="2"/>
      <c r="P227" s="2"/>
      <c r="Q227" s="96"/>
      <c r="R227" s="2"/>
      <c r="S227" s="2"/>
      <c r="T227" s="2"/>
      <c r="U227" s="2"/>
      <c r="V227" s="2"/>
      <c r="W227" s="2"/>
      <c r="X227" s="2"/>
      <c r="Y227" s="3"/>
      <c r="Z227" s="3"/>
    </row>
    <row r="228" ht="13.5" customHeight="1">
      <c r="A228" s="3"/>
      <c r="B228" s="3"/>
      <c r="C228" s="74"/>
      <c r="D228" s="75"/>
      <c r="E228" s="93"/>
      <c r="F228" s="94"/>
      <c r="G228" s="94"/>
      <c r="H228" s="94"/>
      <c r="I228" s="94"/>
      <c r="J228" s="94"/>
      <c r="K228" s="94"/>
      <c r="L228" s="94"/>
      <c r="M228" s="95"/>
      <c r="N228" s="95"/>
      <c r="O228" s="2"/>
      <c r="P228" s="2"/>
      <c r="Q228" s="96"/>
      <c r="R228" s="2"/>
      <c r="S228" s="2"/>
      <c r="T228" s="2"/>
      <c r="U228" s="2"/>
      <c r="V228" s="2"/>
      <c r="W228" s="2"/>
      <c r="X228" s="2"/>
      <c r="Y228" s="3"/>
      <c r="Z228" s="3"/>
    </row>
    <row r="229" ht="13.5" customHeight="1">
      <c r="A229" s="3"/>
      <c r="B229" s="3"/>
      <c r="C229" s="74"/>
      <c r="D229" s="75"/>
      <c r="E229" s="93"/>
      <c r="F229" s="94"/>
      <c r="G229" s="94"/>
      <c r="H229" s="94"/>
      <c r="I229" s="94"/>
      <c r="J229" s="94"/>
      <c r="K229" s="94"/>
      <c r="L229" s="94"/>
      <c r="M229" s="95"/>
      <c r="N229" s="95"/>
      <c r="O229" s="2"/>
      <c r="P229" s="2"/>
      <c r="Q229" s="96"/>
      <c r="R229" s="2"/>
      <c r="S229" s="2"/>
      <c r="T229" s="2"/>
      <c r="U229" s="2"/>
      <c r="V229" s="2"/>
      <c r="W229" s="2"/>
      <c r="X229" s="2"/>
      <c r="Y229" s="3"/>
      <c r="Z229" s="3"/>
    </row>
    <row r="230" ht="13.5" customHeight="1">
      <c r="A230" s="3"/>
      <c r="B230" s="3"/>
      <c r="C230" s="74"/>
      <c r="D230" s="75"/>
      <c r="E230" s="93"/>
      <c r="F230" s="94"/>
      <c r="G230" s="94"/>
      <c r="H230" s="94"/>
      <c r="I230" s="94"/>
      <c r="J230" s="94"/>
      <c r="K230" s="94"/>
      <c r="L230" s="94"/>
      <c r="M230" s="95"/>
      <c r="N230" s="95"/>
      <c r="O230" s="2"/>
      <c r="P230" s="2"/>
      <c r="Q230" s="96"/>
      <c r="R230" s="2"/>
      <c r="S230" s="2"/>
      <c r="T230" s="2"/>
      <c r="U230" s="2"/>
      <c r="V230" s="2"/>
      <c r="W230" s="2"/>
      <c r="X230" s="2"/>
      <c r="Y230" s="3"/>
      <c r="Z230" s="3"/>
    </row>
    <row r="231" ht="13.5" customHeight="1">
      <c r="A231" s="3"/>
      <c r="B231" s="3"/>
      <c r="C231" s="74"/>
      <c r="D231" s="75"/>
      <c r="E231" s="93"/>
      <c r="F231" s="94"/>
      <c r="G231" s="94"/>
      <c r="H231" s="94"/>
      <c r="I231" s="94"/>
      <c r="J231" s="94"/>
      <c r="K231" s="94"/>
      <c r="L231" s="94"/>
      <c r="M231" s="95"/>
      <c r="N231" s="95"/>
      <c r="O231" s="2"/>
      <c r="P231" s="2"/>
      <c r="Q231" s="96"/>
      <c r="R231" s="2"/>
      <c r="S231" s="2"/>
      <c r="T231" s="2"/>
      <c r="U231" s="2"/>
      <c r="V231" s="2"/>
      <c r="W231" s="2"/>
      <c r="X231" s="2"/>
      <c r="Y231" s="3"/>
      <c r="Z231" s="3"/>
    </row>
    <row r="232" ht="13.5" customHeight="1">
      <c r="A232" s="3"/>
      <c r="B232" s="3"/>
      <c r="C232" s="74"/>
      <c r="D232" s="75"/>
      <c r="E232" s="93"/>
      <c r="F232" s="94"/>
      <c r="G232" s="94"/>
      <c r="H232" s="94"/>
      <c r="I232" s="94"/>
      <c r="J232" s="94"/>
      <c r="K232" s="94"/>
      <c r="L232" s="94"/>
      <c r="M232" s="95"/>
      <c r="N232" s="95"/>
      <c r="O232" s="2"/>
      <c r="P232" s="2"/>
      <c r="Q232" s="96"/>
      <c r="R232" s="2"/>
      <c r="S232" s="2"/>
      <c r="T232" s="2"/>
      <c r="U232" s="2"/>
      <c r="V232" s="2"/>
      <c r="W232" s="2"/>
      <c r="X232" s="2"/>
      <c r="Y232" s="3"/>
      <c r="Z232" s="3"/>
    </row>
    <row r="233" ht="13.5" customHeight="1">
      <c r="A233" s="3"/>
      <c r="B233" s="3"/>
      <c r="C233" s="74"/>
      <c r="D233" s="75"/>
      <c r="E233" s="93"/>
      <c r="F233" s="94"/>
      <c r="G233" s="94"/>
      <c r="H233" s="94"/>
      <c r="I233" s="94"/>
      <c r="J233" s="94"/>
      <c r="K233" s="94"/>
      <c r="L233" s="94"/>
      <c r="M233" s="95"/>
      <c r="N233" s="95"/>
      <c r="O233" s="2"/>
      <c r="P233" s="2"/>
      <c r="Q233" s="96"/>
      <c r="R233" s="2"/>
      <c r="S233" s="2"/>
      <c r="T233" s="2"/>
      <c r="U233" s="2"/>
      <c r="V233" s="2"/>
      <c r="W233" s="2"/>
      <c r="X233" s="2"/>
      <c r="Y233" s="3"/>
      <c r="Z233" s="3"/>
    </row>
    <row r="234" ht="13.5" customHeight="1">
      <c r="A234" s="3"/>
      <c r="B234" s="3"/>
      <c r="C234" s="74"/>
      <c r="D234" s="75"/>
      <c r="E234" s="93"/>
      <c r="F234" s="94"/>
      <c r="G234" s="94"/>
      <c r="H234" s="94"/>
      <c r="I234" s="94"/>
      <c r="J234" s="94"/>
      <c r="K234" s="94"/>
      <c r="L234" s="94"/>
      <c r="M234" s="95"/>
      <c r="N234" s="95"/>
      <c r="O234" s="2"/>
      <c r="P234" s="2"/>
      <c r="Q234" s="96"/>
      <c r="R234" s="2"/>
      <c r="S234" s="2"/>
      <c r="T234" s="2"/>
      <c r="U234" s="2"/>
      <c r="V234" s="2"/>
      <c r="W234" s="2"/>
      <c r="X234" s="2"/>
      <c r="Y234" s="3"/>
      <c r="Z234" s="3"/>
    </row>
    <row r="235" ht="13.5" customHeight="1">
      <c r="A235" s="3"/>
      <c r="B235" s="3"/>
      <c r="C235" s="74"/>
      <c r="D235" s="75"/>
      <c r="E235" s="93"/>
      <c r="F235" s="94"/>
      <c r="G235" s="94"/>
      <c r="H235" s="94"/>
      <c r="I235" s="94"/>
      <c r="J235" s="94"/>
      <c r="K235" s="94"/>
      <c r="L235" s="94"/>
      <c r="M235" s="95"/>
      <c r="N235" s="95"/>
      <c r="O235" s="2"/>
      <c r="P235" s="2"/>
      <c r="Q235" s="96"/>
      <c r="R235" s="2"/>
      <c r="S235" s="2"/>
      <c r="T235" s="2"/>
      <c r="U235" s="2"/>
      <c r="V235" s="2"/>
      <c r="W235" s="2"/>
      <c r="X235" s="2"/>
      <c r="Y235" s="3"/>
      <c r="Z235" s="3"/>
    </row>
    <row r="236" ht="13.5" customHeight="1">
      <c r="A236" s="3"/>
      <c r="B236" s="3"/>
      <c r="C236" s="74"/>
      <c r="D236" s="75"/>
      <c r="E236" s="93"/>
      <c r="F236" s="94"/>
      <c r="G236" s="94"/>
      <c r="H236" s="94"/>
      <c r="I236" s="94"/>
      <c r="J236" s="94"/>
      <c r="K236" s="94"/>
      <c r="L236" s="94"/>
      <c r="M236" s="95"/>
      <c r="N236" s="95"/>
      <c r="O236" s="2"/>
      <c r="P236" s="2"/>
      <c r="Q236" s="96"/>
      <c r="R236" s="2"/>
      <c r="S236" s="2"/>
      <c r="T236" s="2"/>
      <c r="U236" s="2"/>
      <c r="V236" s="2"/>
      <c r="W236" s="2"/>
      <c r="X236" s="2"/>
      <c r="Y236" s="3"/>
      <c r="Z236" s="3"/>
    </row>
    <row r="237" ht="13.5" customHeight="1">
      <c r="A237" s="3"/>
      <c r="B237" s="3"/>
      <c r="C237" s="74"/>
      <c r="D237" s="75"/>
      <c r="E237" s="93"/>
      <c r="F237" s="94"/>
      <c r="G237" s="94"/>
      <c r="H237" s="94"/>
      <c r="I237" s="94"/>
      <c r="J237" s="94"/>
      <c r="K237" s="94"/>
      <c r="L237" s="94"/>
      <c r="M237" s="95"/>
      <c r="N237" s="95"/>
      <c r="O237" s="2"/>
      <c r="P237" s="2"/>
      <c r="Q237" s="96"/>
      <c r="R237" s="2"/>
      <c r="S237" s="2"/>
      <c r="T237" s="2"/>
      <c r="U237" s="2"/>
      <c r="V237" s="2"/>
      <c r="W237" s="2"/>
      <c r="X237" s="2"/>
      <c r="Y237" s="3"/>
      <c r="Z237" s="3"/>
    </row>
    <row r="238" ht="13.5" customHeight="1">
      <c r="A238" s="3"/>
      <c r="B238" s="3"/>
      <c r="C238" s="74"/>
      <c r="D238" s="75"/>
      <c r="E238" s="93"/>
      <c r="F238" s="94"/>
      <c r="G238" s="94"/>
      <c r="H238" s="94"/>
      <c r="I238" s="94"/>
      <c r="J238" s="94"/>
      <c r="K238" s="94"/>
      <c r="L238" s="94"/>
      <c r="M238" s="95"/>
      <c r="N238" s="95"/>
      <c r="O238" s="2"/>
      <c r="P238" s="2"/>
      <c r="Q238" s="96"/>
      <c r="R238" s="2"/>
      <c r="S238" s="2"/>
      <c r="T238" s="2"/>
      <c r="U238" s="2"/>
      <c r="V238" s="2"/>
      <c r="W238" s="2"/>
      <c r="X238" s="2"/>
      <c r="Y238" s="3"/>
      <c r="Z238" s="3"/>
    </row>
    <row r="239" ht="13.5" customHeight="1">
      <c r="A239" s="3"/>
      <c r="B239" s="3"/>
      <c r="C239" s="74"/>
      <c r="D239" s="75"/>
      <c r="E239" s="93"/>
      <c r="F239" s="94"/>
      <c r="G239" s="94"/>
      <c r="H239" s="94"/>
      <c r="I239" s="94"/>
      <c r="J239" s="94"/>
      <c r="K239" s="94"/>
      <c r="L239" s="94"/>
      <c r="M239" s="95"/>
      <c r="N239" s="95"/>
      <c r="O239" s="2"/>
      <c r="P239" s="2"/>
      <c r="Q239" s="96"/>
      <c r="R239" s="2"/>
      <c r="S239" s="2"/>
      <c r="T239" s="2"/>
      <c r="U239" s="2"/>
      <c r="V239" s="2"/>
      <c r="W239" s="2"/>
      <c r="X239" s="2"/>
      <c r="Y239" s="3"/>
      <c r="Z239" s="3"/>
    </row>
    <row r="240" ht="13.5" customHeight="1">
      <c r="A240" s="3"/>
      <c r="B240" s="3"/>
      <c r="C240" s="74"/>
      <c r="D240" s="75"/>
      <c r="E240" s="93"/>
      <c r="F240" s="94"/>
      <c r="G240" s="94"/>
      <c r="H240" s="94"/>
      <c r="I240" s="94"/>
      <c r="J240" s="94"/>
      <c r="K240" s="94"/>
      <c r="L240" s="94"/>
      <c r="M240" s="95"/>
      <c r="N240" s="95"/>
      <c r="O240" s="2"/>
      <c r="P240" s="2"/>
      <c r="Q240" s="96"/>
      <c r="R240" s="2"/>
      <c r="S240" s="2"/>
      <c r="T240" s="2"/>
      <c r="U240" s="2"/>
      <c r="V240" s="2"/>
      <c r="W240" s="2"/>
      <c r="X240" s="2"/>
      <c r="Y240" s="3"/>
      <c r="Z240" s="3"/>
    </row>
    <row r="241" ht="13.5" customHeight="1">
      <c r="A241" s="3"/>
      <c r="B241" s="3"/>
      <c r="C241" s="74"/>
      <c r="D241" s="75"/>
      <c r="E241" s="93"/>
      <c r="F241" s="94"/>
      <c r="G241" s="94"/>
      <c r="H241" s="94"/>
      <c r="I241" s="94"/>
      <c r="J241" s="94"/>
      <c r="K241" s="94"/>
      <c r="L241" s="94"/>
      <c r="M241" s="95"/>
      <c r="N241" s="95"/>
      <c r="O241" s="2"/>
      <c r="P241" s="2"/>
      <c r="Q241" s="96"/>
      <c r="R241" s="2"/>
      <c r="S241" s="2"/>
      <c r="T241" s="2"/>
      <c r="U241" s="2"/>
      <c r="V241" s="2"/>
      <c r="W241" s="2"/>
      <c r="X241" s="2"/>
      <c r="Y241" s="3"/>
      <c r="Z241" s="3"/>
    </row>
    <row r="242" ht="13.5" customHeight="1">
      <c r="A242" s="3"/>
      <c r="B242" s="3"/>
      <c r="C242" s="74"/>
      <c r="D242" s="75"/>
      <c r="E242" s="93"/>
      <c r="F242" s="94"/>
      <c r="G242" s="94"/>
      <c r="H242" s="94"/>
      <c r="I242" s="94"/>
      <c r="J242" s="94"/>
      <c r="K242" s="94"/>
      <c r="L242" s="94"/>
      <c r="M242" s="95"/>
      <c r="N242" s="95"/>
      <c r="O242" s="2"/>
      <c r="P242" s="2"/>
      <c r="Q242" s="96"/>
      <c r="R242" s="2"/>
      <c r="S242" s="2"/>
      <c r="T242" s="2"/>
      <c r="U242" s="2"/>
      <c r="V242" s="2"/>
      <c r="W242" s="2"/>
      <c r="X242" s="2"/>
      <c r="Y242" s="3"/>
      <c r="Z242" s="3"/>
    </row>
    <row r="243" ht="13.5" customHeight="1">
      <c r="A243" s="3"/>
      <c r="B243" s="3"/>
      <c r="C243" s="74"/>
      <c r="D243" s="75"/>
      <c r="E243" s="93"/>
      <c r="F243" s="94"/>
      <c r="G243" s="94"/>
      <c r="H243" s="94"/>
      <c r="I243" s="94"/>
      <c r="J243" s="94"/>
      <c r="K243" s="94"/>
      <c r="L243" s="94"/>
      <c r="M243" s="95"/>
      <c r="N243" s="95"/>
      <c r="O243" s="2"/>
      <c r="P243" s="2"/>
      <c r="Q243" s="96"/>
      <c r="R243" s="2"/>
      <c r="S243" s="2"/>
      <c r="T243" s="2"/>
      <c r="U243" s="2"/>
      <c r="V243" s="2"/>
      <c r="W243" s="2"/>
      <c r="X243" s="2"/>
      <c r="Y243" s="3"/>
      <c r="Z243" s="3"/>
    </row>
    <row r="244" ht="13.5" customHeight="1">
      <c r="A244" s="3"/>
      <c r="B244" s="3"/>
      <c r="C244" s="74"/>
      <c r="D244" s="75"/>
      <c r="E244" s="93"/>
      <c r="F244" s="94"/>
      <c r="G244" s="94"/>
      <c r="H244" s="94"/>
      <c r="I244" s="94"/>
      <c r="J244" s="94"/>
      <c r="K244" s="94"/>
      <c r="L244" s="94"/>
      <c r="M244" s="95"/>
      <c r="N244" s="95"/>
      <c r="O244" s="2"/>
      <c r="P244" s="2"/>
      <c r="Q244" s="96"/>
      <c r="R244" s="2"/>
      <c r="S244" s="2"/>
      <c r="T244" s="2"/>
      <c r="U244" s="2"/>
      <c r="V244" s="2"/>
      <c r="W244" s="2"/>
      <c r="X244" s="2"/>
      <c r="Y244" s="3"/>
      <c r="Z244" s="3"/>
    </row>
    <row r="245" ht="13.5" customHeight="1">
      <c r="A245" s="3"/>
      <c r="B245" s="3"/>
      <c r="C245" s="74"/>
      <c r="D245" s="75"/>
      <c r="E245" s="93"/>
      <c r="F245" s="94"/>
      <c r="G245" s="94"/>
      <c r="H245" s="94"/>
      <c r="I245" s="94"/>
      <c r="J245" s="94"/>
      <c r="K245" s="94"/>
      <c r="L245" s="94"/>
      <c r="M245" s="95"/>
      <c r="N245" s="95"/>
      <c r="O245" s="2"/>
      <c r="P245" s="2"/>
      <c r="Q245" s="96"/>
      <c r="R245" s="2"/>
      <c r="S245" s="2"/>
      <c r="T245" s="2"/>
      <c r="U245" s="2"/>
      <c r="V245" s="2"/>
      <c r="W245" s="2"/>
      <c r="X245" s="2"/>
      <c r="Y245" s="3"/>
      <c r="Z245" s="3"/>
    </row>
    <row r="246" ht="13.5" customHeight="1">
      <c r="A246" s="3"/>
      <c r="B246" s="3"/>
      <c r="C246" s="74"/>
      <c r="D246" s="75"/>
      <c r="E246" s="93"/>
      <c r="F246" s="94"/>
      <c r="G246" s="94"/>
      <c r="H246" s="94"/>
      <c r="I246" s="94"/>
      <c r="J246" s="94"/>
      <c r="K246" s="94"/>
      <c r="L246" s="94"/>
      <c r="M246" s="95"/>
      <c r="N246" s="95"/>
      <c r="O246" s="2"/>
      <c r="P246" s="2"/>
      <c r="Q246" s="96"/>
      <c r="R246" s="2"/>
      <c r="S246" s="2"/>
      <c r="T246" s="2"/>
      <c r="U246" s="2"/>
      <c r="V246" s="2"/>
      <c r="W246" s="2"/>
      <c r="X246" s="2"/>
      <c r="Y246" s="3"/>
      <c r="Z246" s="3"/>
    </row>
    <row r="247" ht="13.5" customHeight="1">
      <c r="A247" s="3"/>
      <c r="B247" s="3"/>
      <c r="C247" s="74"/>
      <c r="D247" s="75"/>
      <c r="E247" s="93"/>
      <c r="F247" s="94"/>
      <c r="G247" s="94"/>
      <c r="H247" s="94"/>
      <c r="I247" s="94"/>
      <c r="J247" s="94"/>
      <c r="K247" s="94"/>
      <c r="L247" s="94"/>
      <c r="M247" s="95"/>
      <c r="N247" s="95"/>
      <c r="O247" s="2"/>
      <c r="P247" s="2"/>
      <c r="Q247" s="96"/>
      <c r="R247" s="2"/>
      <c r="S247" s="2"/>
      <c r="T247" s="2"/>
      <c r="U247" s="2"/>
      <c r="V247" s="2"/>
      <c r="W247" s="2"/>
      <c r="X247" s="2"/>
      <c r="Y247" s="3"/>
      <c r="Z247" s="3"/>
    </row>
    <row r="248" ht="13.5" customHeight="1">
      <c r="A248" s="3"/>
      <c r="B248" s="3"/>
      <c r="C248" s="74"/>
      <c r="D248" s="75"/>
      <c r="E248" s="93"/>
      <c r="F248" s="94"/>
      <c r="G248" s="94"/>
      <c r="H248" s="94"/>
      <c r="I248" s="94"/>
      <c r="J248" s="94"/>
      <c r="K248" s="94"/>
      <c r="L248" s="94"/>
      <c r="M248" s="95"/>
      <c r="N248" s="95"/>
      <c r="O248" s="2"/>
      <c r="P248" s="2"/>
      <c r="Q248" s="96"/>
      <c r="R248" s="2"/>
      <c r="S248" s="2"/>
      <c r="T248" s="2"/>
      <c r="U248" s="2"/>
      <c r="V248" s="2"/>
      <c r="W248" s="2"/>
      <c r="X248" s="2"/>
      <c r="Y248" s="3"/>
      <c r="Z248" s="3"/>
    </row>
    <row r="249" ht="13.5" customHeight="1">
      <c r="A249" s="3"/>
      <c r="B249" s="3"/>
      <c r="C249" s="3"/>
      <c r="D249" s="2"/>
      <c r="E249" s="93"/>
      <c r="F249" s="94"/>
      <c r="G249" s="94"/>
      <c r="H249" s="94"/>
      <c r="I249" s="94"/>
      <c r="J249" s="94"/>
      <c r="K249" s="94"/>
      <c r="L249" s="94"/>
      <c r="M249" s="95"/>
      <c r="N249" s="95"/>
      <c r="O249" s="2"/>
      <c r="P249" s="2"/>
      <c r="Q249" s="96"/>
      <c r="R249" s="2"/>
      <c r="S249" s="2"/>
      <c r="T249" s="2"/>
      <c r="U249" s="2"/>
      <c r="V249" s="2"/>
      <c r="W249" s="2"/>
      <c r="X249" s="2"/>
      <c r="Y249" s="3"/>
      <c r="Z249" s="3"/>
    </row>
    <row r="250" ht="13.5" customHeight="1">
      <c r="A250" s="5"/>
      <c r="B250" s="5"/>
      <c r="C250" s="5"/>
      <c r="D250" s="5"/>
      <c r="E250" s="93"/>
      <c r="F250" s="94"/>
      <c r="G250" s="94"/>
      <c r="H250" s="94"/>
      <c r="I250" s="94"/>
      <c r="J250" s="94"/>
      <c r="K250" s="94"/>
      <c r="L250" s="94"/>
      <c r="M250" s="95"/>
      <c r="N250" s="95"/>
      <c r="O250" s="2"/>
      <c r="P250" s="2"/>
      <c r="Q250" s="96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5"/>
      <c r="B251" s="5"/>
      <c r="C251" s="5"/>
      <c r="D251" s="5"/>
      <c r="E251" s="93"/>
      <c r="F251" s="94"/>
      <c r="G251" s="94"/>
      <c r="H251" s="94"/>
      <c r="I251" s="94"/>
      <c r="J251" s="94"/>
      <c r="K251" s="94"/>
      <c r="L251" s="94"/>
      <c r="M251" s="95"/>
      <c r="N251" s="95"/>
      <c r="O251" s="2"/>
      <c r="P251" s="2"/>
      <c r="Q251" s="96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5"/>
      <c r="B252" s="5"/>
      <c r="C252" s="5"/>
      <c r="D252" s="5"/>
      <c r="E252" s="93"/>
      <c r="F252" s="94"/>
      <c r="G252" s="94"/>
      <c r="H252" s="94"/>
      <c r="I252" s="94"/>
      <c r="J252" s="94"/>
      <c r="K252" s="94"/>
      <c r="L252" s="94"/>
      <c r="M252" s="95"/>
      <c r="N252" s="95"/>
      <c r="O252" s="2"/>
      <c r="P252" s="2"/>
      <c r="Q252" s="96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5"/>
      <c r="B253" s="5"/>
      <c r="C253" s="5"/>
      <c r="D253" s="5"/>
      <c r="E253" s="93"/>
      <c r="F253" s="94"/>
      <c r="G253" s="94"/>
      <c r="H253" s="94"/>
      <c r="I253" s="94"/>
      <c r="J253" s="94"/>
      <c r="K253" s="94"/>
      <c r="L253" s="94"/>
      <c r="M253" s="95"/>
      <c r="N253" s="95"/>
      <c r="O253" s="2"/>
      <c r="P253" s="2"/>
      <c r="Q253" s="96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5"/>
      <c r="B254" s="5"/>
      <c r="C254" s="5"/>
      <c r="D254" s="5"/>
      <c r="E254" s="93"/>
      <c r="F254" s="94"/>
      <c r="G254" s="94"/>
      <c r="H254" s="94"/>
      <c r="I254" s="94"/>
      <c r="J254" s="94"/>
      <c r="K254" s="94"/>
      <c r="L254" s="94"/>
      <c r="M254" s="95"/>
      <c r="N254" s="95"/>
      <c r="O254" s="2"/>
      <c r="P254" s="2"/>
      <c r="Q254" s="96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5"/>
      <c r="B255" s="5"/>
      <c r="C255" s="5"/>
      <c r="D255" s="5"/>
      <c r="E255" s="93"/>
      <c r="F255" s="94"/>
      <c r="G255" s="94"/>
      <c r="H255" s="94"/>
      <c r="I255" s="94"/>
      <c r="J255" s="94"/>
      <c r="K255" s="94"/>
      <c r="L255" s="94"/>
      <c r="M255" s="95"/>
      <c r="N255" s="95"/>
      <c r="O255" s="2"/>
      <c r="P255" s="2"/>
      <c r="Q255" s="96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5"/>
      <c r="B256" s="5"/>
      <c r="C256" s="5"/>
      <c r="D256" s="5"/>
      <c r="E256" s="93"/>
      <c r="F256" s="94"/>
      <c r="G256" s="94"/>
      <c r="H256" s="94"/>
      <c r="I256" s="94"/>
      <c r="J256" s="94"/>
      <c r="K256" s="94"/>
      <c r="L256" s="94"/>
      <c r="M256" s="95"/>
      <c r="N256" s="95"/>
      <c r="O256" s="2"/>
      <c r="P256" s="2"/>
      <c r="Q256" s="96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5"/>
      <c r="B257" s="5"/>
      <c r="C257" s="5"/>
      <c r="D257" s="5"/>
      <c r="E257" s="93"/>
      <c r="F257" s="94"/>
      <c r="G257" s="94"/>
      <c r="H257" s="94"/>
      <c r="I257" s="94"/>
      <c r="J257" s="94"/>
      <c r="K257" s="94"/>
      <c r="L257" s="94"/>
      <c r="M257" s="95"/>
      <c r="N257" s="95"/>
      <c r="O257" s="2"/>
      <c r="P257" s="2"/>
      <c r="Q257" s="96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5"/>
      <c r="B258" s="5"/>
      <c r="C258" s="5"/>
      <c r="D258" s="5"/>
      <c r="E258" s="93"/>
      <c r="F258" s="94"/>
      <c r="G258" s="94"/>
      <c r="H258" s="94"/>
      <c r="I258" s="94"/>
      <c r="J258" s="94"/>
      <c r="K258" s="94"/>
      <c r="L258" s="94"/>
      <c r="M258" s="95"/>
      <c r="N258" s="95"/>
      <c r="O258" s="2"/>
      <c r="P258" s="2"/>
      <c r="Q258" s="96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5"/>
      <c r="B259" s="5"/>
      <c r="C259" s="5"/>
      <c r="D259" s="5"/>
      <c r="E259" s="93"/>
      <c r="F259" s="94"/>
      <c r="G259" s="94"/>
      <c r="H259" s="94"/>
      <c r="I259" s="94"/>
      <c r="J259" s="94"/>
      <c r="K259" s="94"/>
      <c r="L259" s="94"/>
      <c r="M259" s="95"/>
      <c r="N259" s="95"/>
      <c r="O259" s="2"/>
      <c r="P259" s="2"/>
      <c r="Q259" s="96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5"/>
      <c r="B260" s="5"/>
      <c r="C260" s="5"/>
      <c r="D260" s="5"/>
      <c r="E260" s="93"/>
      <c r="F260" s="94"/>
      <c r="G260" s="94"/>
      <c r="H260" s="94"/>
      <c r="I260" s="94"/>
      <c r="J260" s="94"/>
      <c r="K260" s="94"/>
      <c r="L260" s="94"/>
      <c r="M260" s="95"/>
      <c r="N260" s="95"/>
      <c r="O260" s="2"/>
      <c r="P260" s="2"/>
      <c r="Q260" s="96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5"/>
      <c r="B261" s="5"/>
      <c r="C261" s="5"/>
      <c r="D261" s="5"/>
      <c r="E261" s="93"/>
      <c r="F261" s="94"/>
      <c r="G261" s="94"/>
      <c r="H261" s="94"/>
      <c r="I261" s="94"/>
      <c r="J261" s="94"/>
      <c r="K261" s="94"/>
      <c r="L261" s="94"/>
      <c r="M261" s="95"/>
      <c r="N261" s="95"/>
      <c r="O261" s="2"/>
      <c r="P261" s="2"/>
      <c r="Q261" s="96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5"/>
      <c r="B262" s="5"/>
      <c r="C262" s="5"/>
      <c r="D262" s="5"/>
      <c r="E262" s="93"/>
      <c r="F262" s="94"/>
      <c r="G262" s="94"/>
      <c r="H262" s="94"/>
      <c r="I262" s="94"/>
      <c r="J262" s="94"/>
      <c r="K262" s="94"/>
      <c r="L262" s="94"/>
      <c r="M262" s="95"/>
      <c r="N262" s="95"/>
      <c r="O262" s="2"/>
      <c r="P262" s="2"/>
      <c r="Q262" s="96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5"/>
      <c r="B263" s="5"/>
      <c r="C263" s="5"/>
      <c r="D263" s="5"/>
      <c r="E263" s="93"/>
      <c r="F263" s="94"/>
      <c r="G263" s="94"/>
      <c r="H263" s="94"/>
      <c r="I263" s="94"/>
      <c r="J263" s="94"/>
      <c r="K263" s="94"/>
      <c r="L263" s="94"/>
      <c r="M263" s="95"/>
      <c r="N263" s="95"/>
      <c r="O263" s="2"/>
      <c r="P263" s="2"/>
      <c r="Q263" s="96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5"/>
      <c r="B264" s="5"/>
      <c r="C264" s="5"/>
      <c r="D264" s="5"/>
      <c r="E264" s="93"/>
      <c r="F264" s="94"/>
      <c r="G264" s="94"/>
      <c r="H264" s="94"/>
      <c r="I264" s="94"/>
      <c r="J264" s="94"/>
      <c r="K264" s="94"/>
      <c r="L264" s="94"/>
      <c r="M264" s="95"/>
      <c r="N264" s="95"/>
      <c r="O264" s="2"/>
      <c r="P264" s="2"/>
      <c r="Q264" s="96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5"/>
      <c r="B265" s="5"/>
      <c r="C265" s="5"/>
      <c r="D265" s="5"/>
      <c r="E265" s="93"/>
      <c r="F265" s="94"/>
      <c r="G265" s="94"/>
      <c r="H265" s="94"/>
      <c r="I265" s="94"/>
      <c r="J265" s="94"/>
      <c r="K265" s="94"/>
      <c r="L265" s="94"/>
      <c r="M265" s="95"/>
      <c r="N265" s="95"/>
      <c r="O265" s="2"/>
      <c r="P265" s="2"/>
      <c r="Q265" s="96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5"/>
      <c r="B266" s="5"/>
      <c r="C266" s="5"/>
      <c r="D266" s="5"/>
      <c r="E266" s="93"/>
      <c r="F266" s="94"/>
      <c r="G266" s="94"/>
      <c r="H266" s="94"/>
      <c r="I266" s="94"/>
      <c r="J266" s="94"/>
      <c r="K266" s="94"/>
      <c r="L266" s="94"/>
      <c r="M266" s="95"/>
      <c r="N266" s="95"/>
      <c r="O266" s="2"/>
      <c r="P266" s="2"/>
      <c r="Q266" s="96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5"/>
      <c r="B267" s="5"/>
      <c r="C267" s="5"/>
      <c r="D267" s="5"/>
      <c r="E267" s="93"/>
      <c r="F267" s="94"/>
      <c r="G267" s="94"/>
      <c r="H267" s="94"/>
      <c r="I267" s="94"/>
      <c r="J267" s="94"/>
      <c r="K267" s="94"/>
      <c r="L267" s="94"/>
      <c r="M267" s="95"/>
      <c r="N267" s="95"/>
      <c r="O267" s="2"/>
      <c r="P267" s="2"/>
      <c r="Q267" s="96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5"/>
      <c r="B268" s="5"/>
      <c r="C268" s="5"/>
      <c r="D268" s="5"/>
      <c r="E268" s="93"/>
      <c r="F268" s="94"/>
      <c r="G268" s="94"/>
      <c r="H268" s="94"/>
      <c r="I268" s="94"/>
      <c r="J268" s="94"/>
      <c r="K268" s="94"/>
      <c r="L268" s="94"/>
      <c r="M268" s="95"/>
      <c r="N268" s="95"/>
      <c r="O268" s="2"/>
      <c r="P268" s="2"/>
      <c r="Q268" s="96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5"/>
      <c r="B269" s="5"/>
      <c r="C269" s="5"/>
      <c r="D269" s="5"/>
      <c r="E269" s="93"/>
      <c r="F269" s="94"/>
      <c r="G269" s="94"/>
      <c r="H269" s="94"/>
      <c r="I269" s="94"/>
      <c r="J269" s="94"/>
      <c r="K269" s="94"/>
      <c r="L269" s="94"/>
      <c r="M269" s="95"/>
      <c r="N269" s="95"/>
      <c r="O269" s="2"/>
      <c r="P269" s="2"/>
      <c r="Q269" s="96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5"/>
      <c r="B270" s="5"/>
      <c r="C270" s="5"/>
      <c r="D270" s="5"/>
      <c r="E270" s="93"/>
      <c r="F270" s="94"/>
      <c r="G270" s="94"/>
      <c r="H270" s="94"/>
      <c r="I270" s="94"/>
      <c r="J270" s="94"/>
      <c r="K270" s="94"/>
      <c r="L270" s="94"/>
      <c r="M270" s="95"/>
      <c r="N270" s="95"/>
      <c r="O270" s="2"/>
      <c r="P270" s="2"/>
      <c r="Q270" s="96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5"/>
      <c r="B271" s="5"/>
      <c r="C271" s="5"/>
      <c r="D271" s="5"/>
      <c r="E271" s="93"/>
      <c r="F271" s="94"/>
      <c r="G271" s="94"/>
      <c r="H271" s="94"/>
      <c r="I271" s="94"/>
      <c r="J271" s="94"/>
      <c r="K271" s="94"/>
      <c r="L271" s="94"/>
      <c r="M271" s="95"/>
      <c r="N271" s="95"/>
      <c r="O271" s="2"/>
      <c r="P271" s="2"/>
      <c r="Q271" s="96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5"/>
      <c r="B272" s="5"/>
      <c r="C272" s="5"/>
      <c r="D272" s="5"/>
      <c r="E272" s="93"/>
      <c r="F272" s="94"/>
      <c r="G272" s="94"/>
      <c r="H272" s="94"/>
      <c r="I272" s="94"/>
      <c r="J272" s="94"/>
      <c r="K272" s="94"/>
      <c r="L272" s="94"/>
      <c r="M272" s="95"/>
      <c r="N272" s="95"/>
      <c r="O272" s="2"/>
      <c r="P272" s="2"/>
      <c r="Q272" s="96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5"/>
      <c r="B273" s="5"/>
      <c r="C273" s="5"/>
      <c r="D273" s="5"/>
      <c r="E273" s="93"/>
      <c r="F273" s="94"/>
      <c r="G273" s="94"/>
      <c r="H273" s="94"/>
      <c r="I273" s="94"/>
      <c r="J273" s="94"/>
      <c r="K273" s="94"/>
      <c r="L273" s="94"/>
      <c r="M273" s="95"/>
      <c r="N273" s="95"/>
      <c r="O273" s="2"/>
      <c r="P273" s="2"/>
      <c r="Q273" s="96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5"/>
      <c r="B274" s="5"/>
      <c r="C274" s="5"/>
      <c r="D274" s="5"/>
      <c r="E274" s="93"/>
      <c r="F274" s="94"/>
      <c r="G274" s="94"/>
      <c r="H274" s="94"/>
      <c r="I274" s="94"/>
      <c r="J274" s="94"/>
      <c r="K274" s="94"/>
      <c r="L274" s="94"/>
      <c r="M274" s="95"/>
      <c r="N274" s="95"/>
      <c r="O274" s="2"/>
      <c r="P274" s="2"/>
      <c r="Q274" s="96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5"/>
      <c r="B275" s="5"/>
      <c r="C275" s="5"/>
      <c r="D275" s="5"/>
      <c r="E275" s="93"/>
      <c r="F275" s="94"/>
      <c r="G275" s="94"/>
      <c r="H275" s="94"/>
      <c r="I275" s="94"/>
      <c r="J275" s="94"/>
      <c r="K275" s="94"/>
      <c r="L275" s="94"/>
      <c r="M275" s="95"/>
      <c r="N275" s="95"/>
      <c r="O275" s="2"/>
      <c r="P275" s="2"/>
      <c r="Q275" s="96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5"/>
      <c r="B276" s="5"/>
      <c r="C276" s="5"/>
      <c r="D276" s="5"/>
      <c r="E276" s="93"/>
      <c r="F276" s="94"/>
      <c r="G276" s="94"/>
      <c r="H276" s="94"/>
      <c r="I276" s="94"/>
      <c r="J276" s="94"/>
      <c r="K276" s="94"/>
      <c r="L276" s="94"/>
      <c r="M276" s="95"/>
      <c r="N276" s="95"/>
      <c r="O276" s="2"/>
      <c r="P276" s="2"/>
      <c r="Q276" s="96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5"/>
      <c r="B277" s="5"/>
      <c r="C277" s="5"/>
      <c r="D277" s="5"/>
      <c r="E277" s="93"/>
      <c r="F277" s="94"/>
      <c r="G277" s="94"/>
      <c r="H277" s="94"/>
      <c r="I277" s="94"/>
      <c r="J277" s="94"/>
      <c r="K277" s="94"/>
      <c r="L277" s="94"/>
      <c r="M277" s="95"/>
      <c r="N277" s="95"/>
      <c r="O277" s="2"/>
      <c r="P277" s="2"/>
      <c r="Q277" s="96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5"/>
      <c r="B278" s="5"/>
      <c r="C278" s="5"/>
      <c r="D278" s="5"/>
      <c r="E278" s="93"/>
      <c r="F278" s="94"/>
      <c r="G278" s="94"/>
      <c r="H278" s="94"/>
      <c r="I278" s="94"/>
      <c r="J278" s="94"/>
      <c r="K278" s="94"/>
      <c r="L278" s="94"/>
      <c r="M278" s="95"/>
      <c r="N278" s="95"/>
      <c r="O278" s="2"/>
      <c r="P278" s="2"/>
      <c r="Q278" s="96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5"/>
      <c r="B279" s="5"/>
      <c r="C279" s="5"/>
      <c r="D279" s="5"/>
      <c r="E279" s="93"/>
      <c r="F279" s="94"/>
      <c r="G279" s="94"/>
      <c r="H279" s="94"/>
      <c r="I279" s="94"/>
      <c r="J279" s="94"/>
      <c r="K279" s="94"/>
      <c r="L279" s="94"/>
      <c r="M279" s="95"/>
      <c r="N279" s="95"/>
      <c r="O279" s="2"/>
      <c r="P279" s="2"/>
      <c r="Q279" s="96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5"/>
      <c r="B280" s="5"/>
      <c r="C280" s="5"/>
      <c r="D280" s="5"/>
      <c r="E280" s="93"/>
      <c r="F280" s="94"/>
      <c r="G280" s="94"/>
      <c r="H280" s="94"/>
      <c r="I280" s="94"/>
      <c r="J280" s="94"/>
      <c r="K280" s="94"/>
      <c r="L280" s="94"/>
      <c r="M280" s="95"/>
      <c r="N280" s="95"/>
      <c r="O280" s="2"/>
      <c r="P280" s="2"/>
      <c r="Q280" s="96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5"/>
      <c r="B281" s="5"/>
      <c r="C281" s="5"/>
      <c r="D281" s="5"/>
      <c r="E281" s="93"/>
      <c r="F281" s="94"/>
      <c r="G281" s="94"/>
      <c r="H281" s="94"/>
      <c r="I281" s="94"/>
      <c r="J281" s="94"/>
      <c r="K281" s="94"/>
      <c r="L281" s="94"/>
      <c r="M281" s="95"/>
      <c r="N281" s="95"/>
      <c r="O281" s="2"/>
      <c r="P281" s="2"/>
      <c r="Q281" s="96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5"/>
      <c r="B282" s="5"/>
      <c r="C282" s="5"/>
      <c r="D282" s="5"/>
      <c r="E282" s="93"/>
      <c r="F282" s="94"/>
      <c r="G282" s="94"/>
      <c r="H282" s="94"/>
      <c r="I282" s="94"/>
      <c r="J282" s="94"/>
      <c r="K282" s="94"/>
      <c r="L282" s="94"/>
      <c r="M282" s="95"/>
      <c r="N282" s="95"/>
      <c r="O282" s="2"/>
      <c r="P282" s="2"/>
      <c r="Q282" s="96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5"/>
      <c r="B283" s="5"/>
      <c r="C283" s="5"/>
      <c r="D283" s="5"/>
      <c r="E283" s="93"/>
      <c r="F283" s="94"/>
      <c r="G283" s="94"/>
      <c r="H283" s="94"/>
      <c r="I283" s="94"/>
      <c r="J283" s="94"/>
      <c r="K283" s="94"/>
      <c r="L283" s="94"/>
      <c r="M283" s="95"/>
      <c r="N283" s="95"/>
      <c r="O283" s="2"/>
      <c r="P283" s="2"/>
      <c r="Q283" s="96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5"/>
      <c r="B284" s="5"/>
      <c r="C284" s="5"/>
      <c r="D284" s="5"/>
      <c r="E284" s="93"/>
      <c r="F284" s="94"/>
      <c r="G284" s="94"/>
      <c r="H284" s="94"/>
      <c r="I284" s="94"/>
      <c r="J284" s="94"/>
      <c r="K284" s="94"/>
      <c r="L284" s="94"/>
      <c r="M284" s="95"/>
      <c r="N284" s="95"/>
      <c r="O284" s="2"/>
      <c r="P284" s="2"/>
      <c r="Q284" s="96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5"/>
      <c r="B285" s="5"/>
      <c r="C285" s="5"/>
      <c r="D285" s="5"/>
      <c r="E285" s="93"/>
      <c r="F285" s="94"/>
      <c r="G285" s="94"/>
      <c r="H285" s="94"/>
      <c r="I285" s="94"/>
      <c r="J285" s="94"/>
      <c r="K285" s="94"/>
      <c r="L285" s="94"/>
      <c r="M285" s="95"/>
      <c r="N285" s="95"/>
      <c r="O285" s="2"/>
      <c r="P285" s="2"/>
      <c r="Q285" s="96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5"/>
      <c r="B286" s="5"/>
      <c r="C286" s="5"/>
      <c r="D286" s="5"/>
      <c r="E286" s="93"/>
      <c r="F286" s="94"/>
      <c r="G286" s="94"/>
      <c r="H286" s="94"/>
      <c r="I286" s="94"/>
      <c r="J286" s="94"/>
      <c r="K286" s="94"/>
      <c r="L286" s="94"/>
      <c r="M286" s="95"/>
      <c r="N286" s="95"/>
      <c r="O286" s="2"/>
      <c r="P286" s="2"/>
      <c r="Q286" s="96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5"/>
      <c r="B287" s="5"/>
      <c r="C287" s="5"/>
      <c r="D287" s="5"/>
      <c r="E287" s="93"/>
      <c r="F287" s="94"/>
      <c r="G287" s="94"/>
      <c r="H287" s="94"/>
      <c r="I287" s="94"/>
      <c r="J287" s="94"/>
      <c r="K287" s="94"/>
      <c r="L287" s="94"/>
      <c r="M287" s="95"/>
      <c r="N287" s="95"/>
      <c r="O287" s="2"/>
      <c r="P287" s="2"/>
      <c r="Q287" s="96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5"/>
      <c r="B288" s="5"/>
      <c r="C288" s="5"/>
      <c r="D288" s="5"/>
      <c r="E288" s="93"/>
      <c r="F288" s="94"/>
      <c r="G288" s="94"/>
      <c r="H288" s="94"/>
      <c r="I288" s="94"/>
      <c r="J288" s="94"/>
      <c r="K288" s="94"/>
      <c r="L288" s="94"/>
      <c r="M288" s="95"/>
      <c r="N288" s="95"/>
      <c r="O288" s="2"/>
      <c r="P288" s="2"/>
      <c r="Q288" s="96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5"/>
      <c r="B289" s="5"/>
      <c r="C289" s="5"/>
      <c r="D289" s="5"/>
      <c r="E289" s="93"/>
      <c r="F289" s="94"/>
      <c r="G289" s="94"/>
      <c r="H289" s="94"/>
      <c r="I289" s="94"/>
      <c r="J289" s="94"/>
      <c r="K289" s="94"/>
      <c r="L289" s="94"/>
      <c r="M289" s="95"/>
      <c r="N289" s="95"/>
      <c r="O289" s="2"/>
      <c r="P289" s="2"/>
      <c r="Q289" s="96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5"/>
      <c r="B290" s="5"/>
      <c r="C290" s="5"/>
      <c r="D290" s="5"/>
      <c r="E290" s="93"/>
      <c r="F290" s="94"/>
      <c r="G290" s="94"/>
      <c r="H290" s="94"/>
      <c r="I290" s="94"/>
      <c r="J290" s="94"/>
      <c r="K290" s="94"/>
      <c r="L290" s="94"/>
      <c r="M290" s="95"/>
      <c r="N290" s="95"/>
      <c r="O290" s="2"/>
      <c r="P290" s="2"/>
      <c r="Q290" s="96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5"/>
      <c r="B291" s="5"/>
      <c r="C291" s="5"/>
      <c r="D291" s="5"/>
      <c r="E291" s="93"/>
      <c r="F291" s="94"/>
      <c r="G291" s="94"/>
      <c r="H291" s="94"/>
      <c r="I291" s="94"/>
      <c r="J291" s="94"/>
      <c r="K291" s="94"/>
      <c r="L291" s="94"/>
      <c r="M291" s="95"/>
      <c r="N291" s="95"/>
      <c r="O291" s="2"/>
      <c r="P291" s="2"/>
      <c r="Q291" s="96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5"/>
      <c r="B292" s="5"/>
      <c r="C292" s="5"/>
      <c r="D292" s="5"/>
      <c r="E292" s="93"/>
      <c r="F292" s="94"/>
      <c r="G292" s="94"/>
      <c r="H292" s="94"/>
      <c r="I292" s="94"/>
      <c r="J292" s="94"/>
      <c r="K292" s="94"/>
      <c r="L292" s="94"/>
      <c r="M292" s="95"/>
      <c r="N292" s="95"/>
      <c r="O292" s="2"/>
      <c r="P292" s="2"/>
      <c r="Q292" s="96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5"/>
      <c r="B293" s="5"/>
      <c r="C293" s="5"/>
      <c r="D293" s="5"/>
      <c r="E293" s="93"/>
      <c r="F293" s="94"/>
      <c r="G293" s="94"/>
      <c r="H293" s="94"/>
      <c r="I293" s="94"/>
      <c r="J293" s="94"/>
      <c r="K293" s="94"/>
      <c r="L293" s="94"/>
      <c r="M293" s="95"/>
      <c r="N293" s="95"/>
      <c r="O293" s="2"/>
      <c r="P293" s="2"/>
      <c r="Q293" s="96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5"/>
      <c r="B294" s="5"/>
      <c r="C294" s="5"/>
      <c r="D294" s="5"/>
      <c r="E294" s="93"/>
      <c r="F294" s="94"/>
      <c r="G294" s="94"/>
      <c r="H294" s="94"/>
      <c r="I294" s="94"/>
      <c r="J294" s="94"/>
      <c r="K294" s="94"/>
      <c r="L294" s="94"/>
      <c r="M294" s="95"/>
      <c r="N294" s="95"/>
      <c r="O294" s="2"/>
      <c r="P294" s="2"/>
      <c r="Q294" s="96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5"/>
      <c r="B295" s="5"/>
      <c r="C295" s="5"/>
      <c r="D295" s="5"/>
      <c r="E295" s="93"/>
      <c r="F295" s="94"/>
      <c r="G295" s="94"/>
      <c r="H295" s="94"/>
      <c r="I295" s="94"/>
      <c r="J295" s="94"/>
      <c r="K295" s="94"/>
      <c r="L295" s="94"/>
      <c r="M295" s="95"/>
      <c r="N295" s="95"/>
      <c r="O295" s="2"/>
      <c r="P295" s="2"/>
      <c r="Q295" s="96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5"/>
      <c r="B296" s="5"/>
      <c r="C296" s="5"/>
      <c r="D296" s="5"/>
      <c r="E296" s="93"/>
      <c r="F296" s="94"/>
      <c r="G296" s="94"/>
      <c r="H296" s="94"/>
      <c r="I296" s="94"/>
      <c r="J296" s="94"/>
      <c r="K296" s="94"/>
      <c r="L296" s="94"/>
      <c r="M296" s="95"/>
      <c r="N296" s="95"/>
      <c r="O296" s="2"/>
      <c r="P296" s="2"/>
      <c r="Q296" s="96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5"/>
      <c r="B297" s="5"/>
      <c r="C297" s="5"/>
      <c r="D297" s="5"/>
      <c r="E297" s="93"/>
      <c r="F297" s="94"/>
      <c r="G297" s="94"/>
      <c r="H297" s="94"/>
      <c r="I297" s="94"/>
      <c r="J297" s="94"/>
      <c r="K297" s="94"/>
      <c r="L297" s="94"/>
      <c r="M297" s="95"/>
      <c r="N297" s="95"/>
      <c r="O297" s="2"/>
      <c r="P297" s="2"/>
      <c r="Q297" s="96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5"/>
      <c r="B298" s="5"/>
      <c r="C298" s="5"/>
      <c r="D298" s="5"/>
      <c r="E298" s="93"/>
      <c r="F298" s="94"/>
      <c r="G298" s="94"/>
      <c r="H298" s="94"/>
      <c r="I298" s="94"/>
      <c r="J298" s="94"/>
      <c r="K298" s="94"/>
      <c r="L298" s="94"/>
      <c r="M298" s="95"/>
      <c r="N298" s="95"/>
      <c r="O298" s="2"/>
      <c r="P298" s="2"/>
      <c r="Q298" s="96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5"/>
      <c r="B299" s="5"/>
      <c r="C299" s="5"/>
      <c r="D299" s="5"/>
      <c r="E299" s="93"/>
      <c r="F299" s="94"/>
      <c r="G299" s="94"/>
      <c r="H299" s="94"/>
      <c r="I299" s="94"/>
      <c r="J299" s="94"/>
      <c r="K299" s="94"/>
      <c r="L299" s="94"/>
      <c r="M299" s="95"/>
      <c r="N299" s="95"/>
      <c r="O299" s="2"/>
      <c r="P299" s="2"/>
      <c r="Q299" s="96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5"/>
      <c r="B300" s="5"/>
      <c r="C300" s="5"/>
      <c r="D300" s="5"/>
      <c r="E300" s="93"/>
      <c r="F300" s="94"/>
      <c r="G300" s="94"/>
      <c r="H300" s="94"/>
      <c r="I300" s="94"/>
      <c r="J300" s="94"/>
      <c r="K300" s="94"/>
      <c r="L300" s="94"/>
      <c r="M300" s="95"/>
      <c r="N300" s="95"/>
      <c r="O300" s="2"/>
      <c r="P300" s="2"/>
      <c r="Q300" s="96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5"/>
      <c r="B301" s="5"/>
      <c r="C301" s="5"/>
      <c r="D301" s="5"/>
      <c r="E301" s="93"/>
      <c r="F301" s="94"/>
      <c r="G301" s="94"/>
      <c r="H301" s="94"/>
      <c r="I301" s="94"/>
      <c r="J301" s="94"/>
      <c r="K301" s="94"/>
      <c r="L301" s="94"/>
      <c r="M301" s="95"/>
      <c r="N301" s="95"/>
      <c r="O301" s="2"/>
      <c r="P301" s="2"/>
      <c r="Q301" s="96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5"/>
      <c r="B302" s="5"/>
      <c r="C302" s="5"/>
      <c r="D302" s="5"/>
      <c r="E302" s="93"/>
      <c r="F302" s="94"/>
      <c r="G302" s="94"/>
      <c r="H302" s="94"/>
      <c r="I302" s="94"/>
      <c r="J302" s="94"/>
      <c r="K302" s="94"/>
      <c r="L302" s="94"/>
      <c r="M302" s="95"/>
      <c r="N302" s="95"/>
      <c r="O302" s="2"/>
      <c r="P302" s="2"/>
      <c r="Q302" s="96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5"/>
      <c r="B303" s="5"/>
      <c r="C303" s="5"/>
      <c r="D303" s="5"/>
      <c r="E303" s="93"/>
      <c r="F303" s="94"/>
      <c r="G303" s="94"/>
      <c r="H303" s="94"/>
      <c r="I303" s="94"/>
      <c r="J303" s="94"/>
      <c r="K303" s="94"/>
      <c r="L303" s="94"/>
      <c r="M303" s="95"/>
      <c r="N303" s="95"/>
      <c r="O303" s="2"/>
      <c r="P303" s="2"/>
      <c r="Q303" s="96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5"/>
      <c r="B304" s="5"/>
      <c r="C304" s="5"/>
      <c r="D304" s="5"/>
      <c r="E304" s="93"/>
      <c r="F304" s="94"/>
      <c r="G304" s="94"/>
      <c r="H304" s="94"/>
      <c r="I304" s="94"/>
      <c r="J304" s="94"/>
      <c r="K304" s="94"/>
      <c r="L304" s="94"/>
      <c r="M304" s="95"/>
      <c r="N304" s="95"/>
      <c r="O304" s="2"/>
      <c r="P304" s="2"/>
      <c r="Q304" s="96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5"/>
      <c r="B305" s="5"/>
      <c r="C305" s="5"/>
      <c r="D305" s="5"/>
      <c r="E305" s="93"/>
      <c r="F305" s="94"/>
      <c r="G305" s="94"/>
      <c r="H305" s="94"/>
      <c r="I305" s="94"/>
      <c r="J305" s="94"/>
      <c r="K305" s="94"/>
      <c r="L305" s="94"/>
      <c r="M305" s="95"/>
      <c r="N305" s="95"/>
      <c r="O305" s="2"/>
      <c r="P305" s="2"/>
      <c r="Q305" s="96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5"/>
      <c r="B306" s="5"/>
      <c r="C306" s="5"/>
      <c r="D306" s="5"/>
      <c r="E306" s="93"/>
      <c r="F306" s="94"/>
      <c r="G306" s="94"/>
      <c r="H306" s="94"/>
      <c r="I306" s="94"/>
      <c r="J306" s="94"/>
      <c r="K306" s="94"/>
      <c r="L306" s="94"/>
      <c r="M306" s="95"/>
      <c r="N306" s="95"/>
      <c r="O306" s="2"/>
      <c r="P306" s="2"/>
      <c r="Q306" s="96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5"/>
      <c r="B307" s="5"/>
      <c r="C307" s="5"/>
      <c r="D307" s="5"/>
      <c r="E307" s="93"/>
      <c r="F307" s="94"/>
      <c r="G307" s="94"/>
      <c r="H307" s="94"/>
      <c r="I307" s="94"/>
      <c r="J307" s="94"/>
      <c r="K307" s="94"/>
      <c r="L307" s="94"/>
      <c r="M307" s="95"/>
      <c r="N307" s="95"/>
      <c r="O307" s="2"/>
      <c r="P307" s="2"/>
      <c r="Q307" s="96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5"/>
      <c r="B308" s="5"/>
      <c r="C308" s="5"/>
      <c r="D308" s="5"/>
      <c r="E308" s="93"/>
      <c r="F308" s="94"/>
      <c r="G308" s="94"/>
      <c r="H308" s="94"/>
      <c r="I308" s="94"/>
      <c r="J308" s="94"/>
      <c r="K308" s="94"/>
      <c r="L308" s="94"/>
      <c r="M308" s="95"/>
      <c r="N308" s="95"/>
      <c r="O308" s="2"/>
      <c r="P308" s="2"/>
      <c r="Q308" s="96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5"/>
      <c r="B309" s="5"/>
      <c r="C309" s="5"/>
      <c r="D309" s="5"/>
      <c r="E309" s="93"/>
      <c r="F309" s="94"/>
      <c r="G309" s="94"/>
      <c r="H309" s="94"/>
      <c r="I309" s="94"/>
      <c r="J309" s="94"/>
      <c r="K309" s="94"/>
      <c r="L309" s="94"/>
      <c r="M309" s="95"/>
      <c r="N309" s="95"/>
      <c r="O309" s="2"/>
      <c r="P309" s="2"/>
      <c r="Q309" s="96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5"/>
      <c r="B310" s="5"/>
      <c r="C310" s="5"/>
      <c r="D310" s="5"/>
      <c r="E310" s="93"/>
      <c r="F310" s="94"/>
      <c r="G310" s="94"/>
      <c r="H310" s="94"/>
      <c r="I310" s="94"/>
      <c r="J310" s="94"/>
      <c r="K310" s="94"/>
      <c r="L310" s="94"/>
      <c r="M310" s="95"/>
      <c r="N310" s="95"/>
      <c r="O310" s="2"/>
      <c r="P310" s="2"/>
      <c r="Q310" s="96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5"/>
      <c r="B311" s="5"/>
      <c r="C311" s="5"/>
      <c r="D311" s="5"/>
      <c r="E311" s="93"/>
      <c r="F311" s="94"/>
      <c r="G311" s="94"/>
      <c r="H311" s="94"/>
      <c r="I311" s="94"/>
      <c r="J311" s="94"/>
      <c r="K311" s="94"/>
      <c r="L311" s="94"/>
      <c r="M311" s="95"/>
      <c r="N311" s="95"/>
      <c r="O311" s="2"/>
      <c r="P311" s="2"/>
      <c r="Q311" s="96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5"/>
      <c r="B312" s="5"/>
      <c r="C312" s="5"/>
      <c r="D312" s="5"/>
      <c r="E312" s="93"/>
      <c r="F312" s="94"/>
      <c r="G312" s="94"/>
      <c r="H312" s="94"/>
      <c r="I312" s="94"/>
      <c r="J312" s="94"/>
      <c r="K312" s="94"/>
      <c r="L312" s="94"/>
      <c r="M312" s="95"/>
      <c r="N312" s="95"/>
      <c r="O312" s="2"/>
      <c r="P312" s="2"/>
      <c r="Q312" s="96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5"/>
      <c r="B313" s="5"/>
      <c r="C313" s="5"/>
      <c r="D313" s="5"/>
      <c r="E313" s="93"/>
      <c r="F313" s="94"/>
      <c r="G313" s="94"/>
      <c r="H313" s="94"/>
      <c r="I313" s="94"/>
      <c r="J313" s="94"/>
      <c r="K313" s="94"/>
      <c r="L313" s="94"/>
      <c r="M313" s="95"/>
      <c r="N313" s="95"/>
      <c r="O313" s="2"/>
      <c r="P313" s="2"/>
      <c r="Q313" s="96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5"/>
      <c r="B314" s="5"/>
      <c r="C314" s="5"/>
      <c r="D314" s="5"/>
      <c r="E314" s="93"/>
      <c r="F314" s="94"/>
      <c r="G314" s="94"/>
      <c r="H314" s="94"/>
      <c r="I314" s="94"/>
      <c r="J314" s="94"/>
      <c r="K314" s="94"/>
      <c r="L314" s="94"/>
      <c r="M314" s="95"/>
      <c r="N314" s="95"/>
      <c r="O314" s="2"/>
      <c r="P314" s="2"/>
      <c r="Q314" s="96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5"/>
      <c r="B315" s="5"/>
      <c r="C315" s="5"/>
      <c r="D315" s="5"/>
      <c r="E315" s="93"/>
      <c r="F315" s="94"/>
      <c r="G315" s="94"/>
      <c r="H315" s="94"/>
      <c r="I315" s="94"/>
      <c r="J315" s="94"/>
      <c r="K315" s="94"/>
      <c r="L315" s="94"/>
      <c r="M315" s="95"/>
      <c r="N315" s="95"/>
      <c r="O315" s="2"/>
      <c r="P315" s="2"/>
      <c r="Q315" s="96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5"/>
      <c r="B316" s="5"/>
      <c r="C316" s="5"/>
      <c r="D316" s="5"/>
      <c r="E316" s="93"/>
      <c r="F316" s="94"/>
      <c r="G316" s="94"/>
      <c r="H316" s="94"/>
      <c r="I316" s="94"/>
      <c r="J316" s="94"/>
      <c r="K316" s="94"/>
      <c r="L316" s="94"/>
      <c r="M316" s="95"/>
      <c r="N316" s="95"/>
      <c r="O316" s="2"/>
      <c r="P316" s="2"/>
      <c r="Q316" s="96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5"/>
      <c r="B317" s="5"/>
      <c r="C317" s="5"/>
      <c r="D317" s="5"/>
      <c r="E317" s="93"/>
      <c r="F317" s="94"/>
      <c r="G317" s="94"/>
      <c r="H317" s="94"/>
      <c r="I317" s="94"/>
      <c r="J317" s="94"/>
      <c r="K317" s="94"/>
      <c r="L317" s="94"/>
      <c r="M317" s="95"/>
      <c r="N317" s="95"/>
      <c r="O317" s="2"/>
      <c r="P317" s="2"/>
      <c r="Q317" s="96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5"/>
      <c r="B318" s="5"/>
      <c r="C318" s="5"/>
      <c r="D318" s="5"/>
      <c r="E318" s="93"/>
      <c r="F318" s="94"/>
      <c r="G318" s="94"/>
      <c r="H318" s="94"/>
      <c r="I318" s="94"/>
      <c r="J318" s="94"/>
      <c r="K318" s="94"/>
      <c r="L318" s="94"/>
      <c r="M318" s="95"/>
      <c r="N318" s="95"/>
      <c r="O318" s="2"/>
      <c r="P318" s="2"/>
      <c r="Q318" s="96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5"/>
      <c r="B319" s="5"/>
      <c r="C319" s="5"/>
      <c r="D319" s="5"/>
      <c r="E319" s="93"/>
      <c r="F319" s="94"/>
      <c r="G319" s="94"/>
      <c r="H319" s="94"/>
      <c r="I319" s="94"/>
      <c r="J319" s="94"/>
      <c r="K319" s="94"/>
      <c r="L319" s="94"/>
      <c r="M319" s="95"/>
      <c r="N319" s="95"/>
      <c r="O319" s="2"/>
      <c r="P319" s="2"/>
      <c r="Q319" s="96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5"/>
      <c r="B320" s="5"/>
      <c r="C320" s="5"/>
      <c r="D320" s="5"/>
      <c r="E320" s="93"/>
      <c r="F320" s="94"/>
      <c r="G320" s="94"/>
      <c r="H320" s="94"/>
      <c r="I320" s="94"/>
      <c r="J320" s="94"/>
      <c r="K320" s="94"/>
      <c r="L320" s="94"/>
      <c r="M320" s="95"/>
      <c r="N320" s="95"/>
      <c r="O320" s="2"/>
      <c r="P320" s="2"/>
      <c r="Q320" s="96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5"/>
      <c r="B321" s="5"/>
      <c r="C321" s="5"/>
      <c r="D321" s="5"/>
      <c r="E321" s="93"/>
      <c r="F321" s="94"/>
      <c r="G321" s="94"/>
      <c r="H321" s="94"/>
      <c r="I321" s="94"/>
      <c r="J321" s="94"/>
      <c r="K321" s="94"/>
      <c r="L321" s="94"/>
      <c r="M321" s="95"/>
      <c r="N321" s="95"/>
      <c r="O321" s="2"/>
      <c r="P321" s="2"/>
      <c r="Q321" s="96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5"/>
      <c r="B322" s="5"/>
      <c r="C322" s="5"/>
      <c r="D322" s="5"/>
      <c r="E322" s="93"/>
      <c r="F322" s="94"/>
      <c r="G322" s="94"/>
      <c r="H322" s="94"/>
      <c r="I322" s="94"/>
      <c r="J322" s="94"/>
      <c r="K322" s="94"/>
      <c r="L322" s="94"/>
      <c r="M322" s="95"/>
      <c r="N322" s="95"/>
      <c r="O322" s="2"/>
      <c r="P322" s="2"/>
      <c r="Q322" s="96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5"/>
      <c r="B323" s="5"/>
      <c r="C323" s="5"/>
      <c r="D323" s="5"/>
      <c r="E323" s="93"/>
      <c r="F323" s="94"/>
      <c r="G323" s="94"/>
      <c r="H323" s="94"/>
      <c r="I323" s="94"/>
      <c r="J323" s="94"/>
      <c r="K323" s="94"/>
      <c r="L323" s="94"/>
      <c r="M323" s="95"/>
      <c r="N323" s="95"/>
      <c r="O323" s="2"/>
      <c r="P323" s="2"/>
      <c r="Q323" s="96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5"/>
      <c r="B324" s="5"/>
      <c r="C324" s="5"/>
      <c r="D324" s="5"/>
      <c r="E324" s="93"/>
      <c r="F324" s="94"/>
      <c r="G324" s="94"/>
      <c r="H324" s="94"/>
      <c r="I324" s="94"/>
      <c r="J324" s="94"/>
      <c r="K324" s="94"/>
      <c r="L324" s="94"/>
      <c r="M324" s="95"/>
      <c r="N324" s="95"/>
      <c r="O324" s="2"/>
      <c r="P324" s="2"/>
      <c r="Q324" s="96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5"/>
      <c r="B325" s="5"/>
      <c r="C325" s="5"/>
      <c r="D325" s="5"/>
      <c r="E325" s="93"/>
      <c r="F325" s="94"/>
      <c r="G325" s="94"/>
      <c r="H325" s="94"/>
      <c r="I325" s="94"/>
      <c r="J325" s="94"/>
      <c r="K325" s="94"/>
      <c r="L325" s="94"/>
      <c r="M325" s="95"/>
      <c r="N325" s="95"/>
      <c r="O325" s="2"/>
      <c r="P325" s="2"/>
      <c r="Q325" s="96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5"/>
      <c r="B326" s="5"/>
      <c r="C326" s="5"/>
      <c r="D326" s="5"/>
      <c r="E326" s="93"/>
      <c r="F326" s="94"/>
      <c r="G326" s="94"/>
      <c r="H326" s="94"/>
      <c r="I326" s="94"/>
      <c r="J326" s="94"/>
      <c r="K326" s="94"/>
      <c r="L326" s="94"/>
      <c r="M326" s="95"/>
      <c r="N326" s="95"/>
      <c r="O326" s="2"/>
      <c r="P326" s="2"/>
      <c r="Q326" s="96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5"/>
      <c r="B327" s="5"/>
      <c r="C327" s="5"/>
      <c r="D327" s="5"/>
      <c r="E327" s="93"/>
      <c r="F327" s="94"/>
      <c r="G327" s="94"/>
      <c r="H327" s="94"/>
      <c r="I327" s="94"/>
      <c r="J327" s="94"/>
      <c r="K327" s="94"/>
      <c r="L327" s="94"/>
      <c r="M327" s="95"/>
      <c r="N327" s="95"/>
      <c r="O327" s="2"/>
      <c r="P327" s="2"/>
      <c r="Q327" s="96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5"/>
      <c r="B328" s="5"/>
      <c r="C328" s="5"/>
      <c r="D328" s="5"/>
      <c r="E328" s="93"/>
      <c r="F328" s="94"/>
      <c r="G328" s="94"/>
      <c r="H328" s="94"/>
      <c r="I328" s="94"/>
      <c r="J328" s="94"/>
      <c r="K328" s="94"/>
      <c r="L328" s="94"/>
      <c r="M328" s="95"/>
      <c r="N328" s="95"/>
      <c r="O328" s="2"/>
      <c r="P328" s="2"/>
      <c r="Q328" s="96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5"/>
      <c r="B329" s="5"/>
      <c r="C329" s="5"/>
      <c r="D329" s="5"/>
      <c r="E329" s="93"/>
      <c r="F329" s="94"/>
      <c r="G329" s="94"/>
      <c r="H329" s="94"/>
      <c r="I329" s="94"/>
      <c r="J329" s="94"/>
      <c r="K329" s="94"/>
      <c r="L329" s="94"/>
      <c r="M329" s="95"/>
      <c r="N329" s="95"/>
      <c r="O329" s="2"/>
      <c r="P329" s="2"/>
      <c r="Q329" s="96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5"/>
      <c r="B330" s="5"/>
      <c r="C330" s="5"/>
      <c r="D330" s="5"/>
      <c r="E330" s="93"/>
      <c r="F330" s="94"/>
      <c r="G330" s="94"/>
      <c r="H330" s="94"/>
      <c r="I330" s="94"/>
      <c r="J330" s="94"/>
      <c r="K330" s="94"/>
      <c r="L330" s="94"/>
      <c r="M330" s="95"/>
      <c r="N330" s="95"/>
      <c r="O330" s="2"/>
      <c r="P330" s="2"/>
      <c r="Q330" s="96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5"/>
      <c r="B331" s="5"/>
      <c r="C331" s="5"/>
      <c r="D331" s="5"/>
      <c r="E331" s="93"/>
      <c r="F331" s="94"/>
      <c r="G331" s="94"/>
      <c r="H331" s="94"/>
      <c r="I331" s="94"/>
      <c r="J331" s="94"/>
      <c r="K331" s="94"/>
      <c r="L331" s="94"/>
      <c r="M331" s="95"/>
      <c r="N331" s="95"/>
      <c r="O331" s="2"/>
      <c r="P331" s="2"/>
      <c r="Q331" s="96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5"/>
      <c r="B332" s="5"/>
      <c r="C332" s="5"/>
      <c r="D332" s="5"/>
      <c r="E332" s="93"/>
      <c r="F332" s="94"/>
      <c r="G332" s="94"/>
      <c r="H332" s="94"/>
      <c r="I332" s="94"/>
      <c r="J332" s="94"/>
      <c r="K332" s="94"/>
      <c r="L332" s="94"/>
      <c r="M332" s="95"/>
      <c r="N332" s="95"/>
      <c r="O332" s="2"/>
      <c r="P332" s="2"/>
      <c r="Q332" s="96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5"/>
      <c r="B333" s="5"/>
      <c r="C333" s="5"/>
      <c r="D333" s="5"/>
      <c r="E333" s="93"/>
      <c r="F333" s="94"/>
      <c r="G333" s="94"/>
      <c r="H333" s="94"/>
      <c r="I333" s="94"/>
      <c r="J333" s="94"/>
      <c r="K333" s="94"/>
      <c r="L333" s="94"/>
      <c r="M333" s="95"/>
      <c r="N333" s="95"/>
      <c r="O333" s="2"/>
      <c r="P333" s="2"/>
      <c r="Q333" s="96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5"/>
      <c r="B334" s="5"/>
      <c r="C334" s="5"/>
      <c r="D334" s="5"/>
      <c r="E334" s="93"/>
      <c r="F334" s="94"/>
      <c r="G334" s="94"/>
      <c r="H334" s="94"/>
      <c r="I334" s="94"/>
      <c r="J334" s="94"/>
      <c r="K334" s="94"/>
      <c r="L334" s="94"/>
      <c r="M334" s="95"/>
      <c r="N334" s="95"/>
      <c r="O334" s="2"/>
      <c r="P334" s="2"/>
      <c r="Q334" s="96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5"/>
      <c r="B335" s="5"/>
      <c r="C335" s="5"/>
      <c r="D335" s="5"/>
      <c r="E335" s="93"/>
      <c r="F335" s="94"/>
      <c r="G335" s="94"/>
      <c r="H335" s="94"/>
      <c r="I335" s="94"/>
      <c r="J335" s="94"/>
      <c r="K335" s="94"/>
      <c r="L335" s="94"/>
      <c r="M335" s="95"/>
      <c r="N335" s="95"/>
      <c r="O335" s="2"/>
      <c r="P335" s="2"/>
      <c r="Q335" s="96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5"/>
      <c r="B336" s="5"/>
      <c r="C336" s="5"/>
      <c r="D336" s="5"/>
      <c r="E336" s="93"/>
      <c r="F336" s="94"/>
      <c r="G336" s="94"/>
      <c r="H336" s="94"/>
      <c r="I336" s="94"/>
      <c r="J336" s="94"/>
      <c r="K336" s="94"/>
      <c r="L336" s="94"/>
      <c r="M336" s="95"/>
      <c r="N336" s="95"/>
      <c r="O336" s="2"/>
      <c r="P336" s="2"/>
      <c r="Q336" s="96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5"/>
      <c r="B337" s="5"/>
      <c r="C337" s="5"/>
      <c r="D337" s="5"/>
      <c r="E337" s="93"/>
      <c r="F337" s="94"/>
      <c r="G337" s="94"/>
      <c r="H337" s="94"/>
      <c r="I337" s="94"/>
      <c r="J337" s="94"/>
      <c r="K337" s="94"/>
      <c r="L337" s="94"/>
      <c r="M337" s="95"/>
      <c r="N337" s="95"/>
      <c r="O337" s="2"/>
      <c r="P337" s="2"/>
      <c r="Q337" s="96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5"/>
      <c r="B338" s="5"/>
      <c r="C338" s="5"/>
      <c r="D338" s="5"/>
      <c r="E338" s="93"/>
      <c r="F338" s="94"/>
      <c r="G338" s="94"/>
      <c r="H338" s="94"/>
      <c r="I338" s="94"/>
      <c r="J338" s="94"/>
      <c r="K338" s="94"/>
      <c r="L338" s="94"/>
      <c r="M338" s="95"/>
      <c r="N338" s="95"/>
      <c r="O338" s="2"/>
      <c r="P338" s="2"/>
      <c r="Q338" s="96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5"/>
      <c r="B339" s="5"/>
      <c r="C339" s="5"/>
      <c r="D339" s="5"/>
      <c r="E339" s="93"/>
      <c r="F339" s="94"/>
      <c r="G339" s="94"/>
      <c r="H339" s="94"/>
      <c r="I339" s="94"/>
      <c r="J339" s="94"/>
      <c r="K339" s="94"/>
      <c r="L339" s="94"/>
      <c r="M339" s="95"/>
      <c r="N339" s="95"/>
      <c r="O339" s="2"/>
      <c r="P339" s="2"/>
      <c r="Q339" s="96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5"/>
      <c r="B340" s="5"/>
      <c r="C340" s="5"/>
      <c r="D340" s="5"/>
      <c r="E340" s="93"/>
      <c r="F340" s="94"/>
      <c r="G340" s="94"/>
      <c r="H340" s="94"/>
      <c r="I340" s="94"/>
      <c r="J340" s="94"/>
      <c r="K340" s="94"/>
      <c r="L340" s="94"/>
      <c r="M340" s="95"/>
      <c r="N340" s="95"/>
      <c r="O340" s="2"/>
      <c r="P340" s="2"/>
      <c r="Q340" s="96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5"/>
      <c r="B341" s="5"/>
      <c r="C341" s="5"/>
      <c r="D341" s="5"/>
      <c r="E341" s="93"/>
      <c r="F341" s="94"/>
      <c r="G341" s="94"/>
      <c r="H341" s="94"/>
      <c r="I341" s="94"/>
      <c r="J341" s="94"/>
      <c r="K341" s="94"/>
      <c r="L341" s="94"/>
      <c r="M341" s="95"/>
      <c r="N341" s="95"/>
      <c r="O341" s="2"/>
      <c r="P341" s="2"/>
      <c r="Q341" s="96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5"/>
      <c r="B342" s="5"/>
      <c r="C342" s="5"/>
      <c r="D342" s="5"/>
      <c r="E342" s="93"/>
      <c r="F342" s="94"/>
      <c r="G342" s="94"/>
      <c r="H342" s="94"/>
      <c r="I342" s="94"/>
      <c r="J342" s="94"/>
      <c r="K342" s="94"/>
      <c r="L342" s="94"/>
      <c r="M342" s="95"/>
      <c r="N342" s="95"/>
      <c r="O342" s="2"/>
      <c r="P342" s="2"/>
      <c r="Q342" s="96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5"/>
      <c r="B343" s="5"/>
      <c r="C343" s="5"/>
      <c r="D343" s="5"/>
      <c r="E343" s="93"/>
      <c r="F343" s="94"/>
      <c r="G343" s="94"/>
      <c r="H343" s="94"/>
      <c r="I343" s="94"/>
      <c r="J343" s="94"/>
      <c r="K343" s="94"/>
      <c r="L343" s="94"/>
      <c r="M343" s="95"/>
      <c r="N343" s="95"/>
      <c r="O343" s="2"/>
      <c r="P343" s="2"/>
      <c r="Q343" s="96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5"/>
      <c r="B344" s="5"/>
      <c r="C344" s="5"/>
      <c r="D344" s="5"/>
      <c r="E344" s="93"/>
      <c r="F344" s="94"/>
      <c r="G344" s="94"/>
      <c r="H344" s="94"/>
      <c r="I344" s="94"/>
      <c r="J344" s="94"/>
      <c r="K344" s="94"/>
      <c r="L344" s="94"/>
      <c r="M344" s="95"/>
      <c r="N344" s="95"/>
      <c r="O344" s="2"/>
      <c r="P344" s="2"/>
      <c r="Q344" s="96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5"/>
      <c r="B345" s="5"/>
      <c r="C345" s="5"/>
      <c r="D345" s="5"/>
      <c r="E345" s="93"/>
      <c r="F345" s="94"/>
      <c r="G345" s="94"/>
      <c r="H345" s="94"/>
      <c r="I345" s="94"/>
      <c r="J345" s="94"/>
      <c r="K345" s="94"/>
      <c r="L345" s="94"/>
      <c r="M345" s="95"/>
      <c r="N345" s="95"/>
      <c r="O345" s="2"/>
      <c r="P345" s="2"/>
      <c r="Q345" s="96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5"/>
      <c r="B346" s="5"/>
      <c r="C346" s="5"/>
      <c r="D346" s="5"/>
      <c r="E346" s="93"/>
      <c r="F346" s="94"/>
      <c r="G346" s="94"/>
      <c r="H346" s="94"/>
      <c r="I346" s="94"/>
      <c r="J346" s="94"/>
      <c r="K346" s="94"/>
      <c r="L346" s="94"/>
      <c r="M346" s="95"/>
      <c r="N346" s="95"/>
      <c r="O346" s="2"/>
      <c r="P346" s="2"/>
      <c r="Q346" s="96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5"/>
      <c r="B347" s="5"/>
      <c r="C347" s="5"/>
      <c r="D347" s="5"/>
      <c r="E347" s="93"/>
      <c r="F347" s="94"/>
      <c r="G347" s="94"/>
      <c r="H347" s="94"/>
      <c r="I347" s="94"/>
      <c r="J347" s="94"/>
      <c r="K347" s="94"/>
      <c r="L347" s="94"/>
      <c r="M347" s="95"/>
      <c r="N347" s="95"/>
      <c r="O347" s="2"/>
      <c r="P347" s="2"/>
      <c r="Q347" s="96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5"/>
      <c r="B348" s="5"/>
      <c r="C348" s="5"/>
      <c r="D348" s="5"/>
      <c r="E348" s="93"/>
      <c r="F348" s="94"/>
      <c r="G348" s="94"/>
      <c r="H348" s="94"/>
      <c r="I348" s="94"/>
      <c r="J348" s="94"/>
      <c r="K348" s="94"/>
      <c r="L348" s="94"/>
      <c r="M348" s="95"/>
      <c r="N348" s="95"/>
      <c r="O348" s="2"/>
      <c r="P348" s="2"/>
      <c r="Q348" s="96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5"/>
      <c r="B349" s="5"/>
      <c r="C349" s="5"/>
      <c r="D349" s="5"/>
      <c r="E349" s="93"/>
      <c r="F349" s="94"/>
      <c r="G349" s="94"/>
      <c r="H349" s="94"/>
      <c r="I349" s="94"/>
      <c r="J349" s="94"/>
      <c r="K349" s="94"/>
      <c r="L349" s="94"/>
      <c r="M349" s="95"/>
      <c r="N349" s="95"/>
      <c r="O349" s="2"/>
      <c r="P349" s="2"/>
      <c r="Q349" s="96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5"/>
      <c r="B350" s="5"/>
      <c r="C350" s="5"/>
      <c r="D350" s="5"/>
      <c r="E350" s="93"/>
      <c r="F350" s="94"/>
      <c r="G350" s="94"/>
      <c r="H350" s="94"/>
      <c r="I350" s="94"/>
      <c r="J350" s="94"/>
      <c r="K350" s="94"/>
      <c r="L350" s="94"/>
      <c r="M350" s="95"/>
      <c r="N350" s="95"/>
      <c r="O350" s="2"/>
      <c r="P350" s="2"/>
      <c r="Q350" s="96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5"/>
      <c r="B351" s="5"/>
      <c r="C351" s="5"/>
      <c r="D351" s="5"/>
      <c r="E351" s="93"/>
      <c r="F351" s="94"/>
      <c r="G351" s="94"/>
      <c r="H351" s="94"/>
      <c r="I351" s="94"/>
      <c r="J351" s="94"/>
      <c r="K351" s="94"/>
      <c r="L351" s="94"/>
      <c r="M351" s="95"/>
      <c r="N351" s="95"/>
      <c r="O351" s="2"/>
      <c r="P351" s="2"/>
      <c r="Q351" s="96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5"/>
      <c r="B352" s="5"/>
      <c r="C352" s="5"/>
      <c r="D352" s="5"/>
      <c r="E352" s="93"/>
      <c r="F352" s="94"/>
      <c r="G352" s="94"/>
      <c r="H352" s="94"/>
      <c r="I352" s="94"/>
      <c r="J352" s="94"/>
      <c r="K352" s="94"/>
      <c r="L352" s="94"/>
      <c r="M352" s="95"/>
      <c r="N352" s="95"/>
      <c r="O352" s="2"/>
      <c r="P352" s="2"/>
      <c r="Q352" s="96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5"/>
      <c r="B353" s="5"/>
      <c r="C353" s="5"/>
      <c r="D353" s="5"/>
      <c r="E353" s="93"/>
      <c r="F353" s="94"/>
      <c r="G353" s="94"/>
      <c r="H353" s="94"/>
      <c r="I353" s="94"/>
      <c r="J353" s="94"/>
      <c r="K353" s="94"/>
      <c r="L353" s="94"/>
      <c r="M353" s="95"/>
      <c r="N353" s="95"/>
      <c r="O353" s="2"/>
      <c r="P353" s="2"/>
      <c r="Q353" s="96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5"/>
      <c r="B354" s="5"/>
      <c r="C354" s="5"/>
      <c r="D354" s="5"/>
      <c r="E354" s="93"/>
      <c r="F354" s="94"/>
      <c r="G354" s="94"/>
      <c r="H354" s="94"/>
      <c r="I354" s="94"/>
      <c r="J354" s="94"/>
      <c r="K354" s="94"/>
      <c r="L354" s="94"/>
      <c r="M354" s="95"/>
      <c r="N354" s="95"/>
      <c r="O354" s="2"/>
      <c r="P354" s="2"/>
      <c r="Q354" s="96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5"/>
      <c r="B355" s="5"/>
      <c r="C355" s="5"/>
      <c r="D355" s="5"/>
      <c r="E355" s="93"/>
      <c r="F355" s="94"/>
      <c r="G355" s="94"/>
      <c r="H355" s="94"/>
      <c r="I355" s="94"/>
      <c r="J355" s="94"/>
      <c r="K355" s="94"/>
      <c r="L355" s="94"/>
      <c r="M355" s="95"/>
      <c r="N355" s="95"/>
      <c r="O355" s="2"/>
      <c r="P355" s="2"/>
      <c r="Q355" s="96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5"/>
      <c r="B356" s="5"/>
      <c r="C356" s="5"/>
      <c r="D356" s="5"/>
      <c r="E356" s="93"/>
      <c r="F356" s="94"/>
      <c r="G356" s="94"/>
      <c r="H356" s="94"/>
      <c r="I356" s="94"/>
      <c r="J356" s="94"/>
      <c r="K356" s="94"/>
      <c r="L356" s="94"/>
      <c r="M356" s="95"/>
      <c r="N356" s="95"/>
      <c r="O356" s="2"/>
      <c r="P356" s="2"/>
      <c r="Q356" s="96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5"/>
      <c r="B357" s="5"/>
      <c r="C357" s="5"/>
      <c r="D357" s="5"/>
      <c r="E357" s="93"/>
      <c r="F357" s="94"/>
      <c r="G357" s="94"/>
      <c r="H357" s="94"/>
      <c r="I357" s="94"/>
      <c r="J357" s="94"/>
      <c r="K357" s="94"/>
      <c r="L357" s="94"/>
      <c r="M357" s="95"/>
      <c r="N357" s="95"/>
      <c r="O357" s="2"/>
      <c r="P357" s="2"/>
      <c r="Q357" s="96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5"/>
      <c r="B358" s="5"/>
      <c r="C358" s="5"/>
      <c r="D358" s="5"/>
      <c r="E358" s="93"/>
      <c r="F358" s="94"/>
      <c r="G358" s="94"/>
      <c r="H358" s="94"/>
      <c r="I358" s="94"/>
      <c r="J358" s="94"/>
      <c r="K358" s="94"/>
      <c r="L358" s="94"/>
      <c r="M358" s="95"/>
      <c r="N358" s="95"/>
      <c r="O358" s="2"/>
      <c r="P358" s="2"/>
      <c r="Q358" s="96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5"/>
      <c r="B359" s="5"/>
      <c r="C359" s="5"/>
      <c r="D359" s="5"/>
      <c r="E359" s="93"/>
      <c r="F359" s="94"/>
      <c r="G359" s="94"/>
      <c r="H359" s="94"/>
      <c r="I359" s="94"/>
      <c r="J359" s="94"/>
      <c r="K359" s="94"/>
      <c r="L359" s="94"/>
      <c r="M359" s="95"/>
      <c r="N359" s="95"/>
      <c r="O359" s="2"/>
      <c r="P359" s="2"/>
      <c r="Q359" s="96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5"/>
      <c r="B360" s="5"/>
      <c r="C360" s="5"/>
      <c r="D360" s="5"/>
      <c r="E360" s="93"/>
      <c r="F360" s="94"/>
      <c r="G360" s="94"/>
      <c r="H360" s="94"/>
      <c r="I360" s="94"/>
      <c r="J360" s="94"/>
      <c r="K360" s="94"/>
      <c r="L360" s="94"/>
      <c r="M360" s="95"/>
      <c r="N360" s="95"/>
      <c r="O360" s="2"/>
      <c r="P360" s="2"/>
      <c r="Q360" s="96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5"/>
      <c r="B361" s="5"/>
      <c r="C361" s="5"/>
      <c r="D361" s="5"/>
      <c r="E361" s="93"/>
      <c r="F361" s="94"/>
      <c r="G361" s="94"/>
      <c r="H361" s="94"/>
      <c r="I361" s="94"/>
      <c r="J361" s="94"/>
      <c r="K361" s="94"/>
      <c r="L361" s="94"/>
      <c r="M361" s="95"/>
      <c r="N361" s="95"/>
      <c r="O361" s="2"/>
      <c r="P361" s="2"/>
      <c r="Q361" s="96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5"/>
      <c r="B362" s="5"/>
      <c r="C362" s="5"/>
      <c r="D362" s="5"/>
      <c r="E362" s="93"/>
      <c r="F362" s="94"/>
      <c r="G362" s="94"/>
      <c r="H362" s="94"/>
      <c r="I362" s="94"/>
      <c r="J362" s="94"/>
      <c r="K362" s="94"/>
      <c r="L362" s="94"/>
      <c r="M362" s="95"/>
      <c r="N362" s="95"/>
      <c r="O362" s="2"/>
      <c r="P362" s="2"/>
      <c r="Q362" s="96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5"/>
      <c r="B363" s="5"/>
      <c r="C363" s="5"/>
      <c r="D363" s="5"/>
      <c r="E363" s="93"/>
      <c r="F363" s="94"/>
      <c r="G363" s="94"/>
      <c r="H363" s="94"/>
      <c r="I363" s="94"/>
      <c r="J363" s="94"/>
      <c r="K363" s="94"/>
      <c r="L363" s="94"/>
      <c r="M363" s="95"/>
      <c r="N363" s="95"/>
      <c r="O363" s="2"/>
      <c r="P363" s="2"/>
      <c r="Q363" s="96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5"/>
      <c r="B364" s="5"/>
      <c r="C364" s="5"/>
      <c r="D364" s="5"/>
      <c r="E364" s="93"/>
      <c r="F364" s="94"/>
      <c r="G364" s="94"/>
      <c r="H364" s="94"/>
      <c r="I364" s="94"/>
      <c r="J364" s="94"/>
      <c r="K364" s="94"/>
      <c r="L364" s="94"/>
      <c r="M364" s="95"/>
      <c r="N364" s="95"/>
      <c r="O364" s="2"/>
      <c r="P364" s="2"/>
      <c r="Q364" s="96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5"/>
      <c r="B365" s="5"/>
      <c r="C365" s="5"/>
      <c r="D365" s="5"/>
      <c r="E365" s="93"/>
      <c r="F365" s="94"/>
      <c r="G365" s="94"/>
      <c r="H365" s="94"/>
      <c r="I365" s="94"/>
      <c r="J365" s="94"/>
      <c r="K365" s="94"/>
      <c r="L365" s="94"/>
      <c r="M365" s="95"/>
      <c r="N365" s="95"/>
      <c r="O365" s="2"/>
      <c r="P365" s="2"/>
      <c r="Q365" s="96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5"/>
      <c r="B366" s="5"/>
      <c r="C366" s="5"/>
      <c r="D366" s="5"/>
      <c r="E366" s="93"/>
      <c r="F366" s="94"/>
      <c r="G366" s="94"/>
      <c r="H366" s="94"/>
      <c r="I366" s="94"/>
      <c r="J366" s="94"/>
      <c r="K366" s="94"/>
      <c r="L366" s="94"/>
      <c r="M366" s="95"/>
      <c r="N366" s="95"/>
      <c r="O366" s="2"/>
      <c r="P366" s="2"/>
      <c r="Q366" s="96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5"/>
      <c r="B367" s="5"/>
      <c r="C367" s="5"/>
      <c r="D367" s="5"/>
      <c r="E367" s="93"/>
      <c r="F367" s="94"/>
      <c r="G367" s="94"/>
      <c r="H367" s="94"/>
      <c r="I367" s="94"/>
      <c r="J367" s="94"/>
      <c r="K367" s="94"/>
      <c r="L367" s="94"/>
      <c r="M367" s="95"/>
      <c r="N367" s="95"/>
      <c r="O367" s="2"/>
      <c r="P367" s="2"/>
      <c r="Q367" s="96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4"/>
      <c r="B960" s="4"/>
      <c r="C960" s="4"/>
      <c r="D960" s="5"/>
      <c r="E960" s="97"/>
      <c r="F960" s="98"/>
      <c r="G960" s="98"/>
      <c r="H960" s="98"/>
      <c r="I960" s="98"/>
      <c r="J960" s="98"/>
      <c r="K960" s="98"/>
      <c r="L960" s="98"/>
      <c r="M960" s="99"/>
      <c r="N960" s="99"/>
      <c r="O960" s="3"/>
      <c r="P960" s="3"/>
      <c r="Q960" s="100"/>
      <c r="R960" s="2"/>
      <c r="S960" s="2"/>
      <c r="T960" s="2"/>
      <c r="U960" s="2"/>
      <c r="V960" s="2"/>
      <c r="W960" s="2"/>
      <c r="X960" s="2"/>
      <c r="Y960" s="3"/>
      <c r="Z960" s="3"/>
    </row>
    <row r="961" ht="13.5" customHeight="1">
      <c r="A961" s="4"/>
      <c r="B961" s="4"/>
      <c r="C961" s="4"/>
      <c r="D961" s="5"/>
      <c r="E961" s="97"/>
      <c r="F961" s="98"/>
      <c r="G961" s="98"/>
      <c r="H961" s="98"/>
      <c r="I961" s="98"/>
      <c r="J961" s="98"/>
      <c r="K961" s="98"/>
      <c r="L961" s="98"/>
      <c r="M961" s="99"/>
      <c r="N961" s="99"/>
      <c r="O961" s="3"/>
      <c r="P961" s="3"/>
      <c r="Q961" s="100"/>
      <c r="R961" s="2"/>
      <c r="S961" s="2"/>
      <c r="T961" s="2"/>
      <c r="U961" s="2"/>
      <c r="V961" s="2"/>
      <c r="W961" s="2"/>
      <c r="X961" s="2"/>
      <c r="Y961" s="3"/>
      <c r="Z961" s="3"/>
    </row>
    <row r="962" ht="13.5" customHeight="1">
      <c r="A962" s="4"/>
      <c r="B962" s="4"/>
      <c r="C962" s="4"/>
      <c r="D962" s="5"/>
      <c r="E962" s="97"/>
      <c r="F962" s="98"/>
      <c r="G962" s="98"/>
      <c r="H962" s="98"/>
      <c r="I962" s="98"/>
      <c r="J962" s="98"/>
      <c r="K962" s="98"/>
      <c r="L962" s="98"/>
      <c r="M962" s="99"/>
      <c r="N962" s="99"/>
      <c r="O962" s="3"/>
      <c r="P962" s="3"/>
      <c r="Q962" s="100"/>
      <c r="R962" s="2"/>
      <c r="S962" s="2"/>
      <c r="T962" s="2"/>
      <c r="U962" s="2"/>
      <c r="V962" s="2"/>
      <c r="W962" s="2"/>
      <c r="X962" s="2"/>
      <c r="Y962" s="3"/>
      <c r="Z962" s="3"/>
    </row>
    <row r="963" ht="13.5" customHeight="1">
      <c r="A963" s="4"/>
      <c r="B963" s="4"/>
      <c r="C963" s="4"/>
      <c r="D963" s="5"/>
      <c r="E963" s="97"/>
      <c r="F963" s="98"/>
      <c r="G963" s="98"/>
      <c r="H963" s="98"/>
      <c r="I963" s="98"/>
      <c r="J963" s="98"/>
      <c r="K963" s="98"/>
      <c r="L963" s="98"/>
      <c r="M963" s="99"/>
      <c r="N963" s="99"/>
      <c r="O963" s="3"/>
      <c r="P963" s="3"/>
      <c r="Q963" s="100"/>
      <c r="R963" s="2"/>
      <c r="S963" s="2"/>
      <c r="T963" s="2"/>
      <c r="U963" s="2"/>
      <c r="V963" s="2"/>
      <c r="W963" s="2"/>
      <c r="X963" s="2"/>
      <c r="Y963" s="3"/>
      <c r="Z963" s="3"/>
    </row>
    <row r="964" ht="13.5" customHeight="1">
      <c r="A964" s="4"/>
      <c r="B964" s="4"/>
      <c r="C964" s="4"/>
      <c r="D964" s="5"/>
      <c r="E964" s="97"/>
      <c r="F964" s="98"/>
      <c r="G964" s="98"/>
      <c r="H964" s="98"/>
      <c r="I964" s="98"/>
      <c r="J964" s="98"/>
      <c r="K964" s="98"/>
      <c r="L964" s="98"/>
      <c r="M964" s="99"/>
      <c r="N964" s="99"/>
      <c r="O964" s="3"/>
      <c r="P964" s="3"/>
      <c r="Q964" s="100"/>
      <c r="R964" s="2"/>
      <c r="S964" s="2"/>
      <c r="T964" s="2"/>
      <c r="U964" s="2"/>
      <c r="V964" s="2"/>
      <c r="W964" s="2"/>
      <c r="X964" s="2"/>
      <c r="Y964" s="3"/>
      <c r="Z964" s="3"/>
    </row>
    <row r="965" ht="13.5" customHeight="1">
      <c r="A965" s="4"/>
      <c r="B965" s="4"/>
      <c r="C965" s="4"/>
      <c r="D965" s="5"/>
      <c r="E965" s="97"/>
      <c r="F965" s="98"/>
      <c r="G965" s="98"/>
      <c r="H965" s="98"/>
      <c r="I965" s="98"/>
      <c r="J965" s="98"/>
      <c r="K965" s="98"/>
      <c r="L965" s="98"/>
      <c r="M965" s="99"/>
      <c r="N965" s="99"/>
      <c r="O965" s="3"/>
      <c r="P965" s="3"/>
      <c r="Q965" s="100"/>
      <c r="R965" s="2"/>
      <c r="S965" s="2"/>
      <c r="T965" s="2"/>
      <c r="U965" s="2"/>
      <c r="V965" s="2"/>
      <c r="W965" s="2"/>
      <c r="X965" s="2"/>
      <c r="Y965" s="3"/>
      <c r="Z965" s="3"/>
    </row>
    <row r="966" ht="13.5" customHeight="1">
      <c r="A966" s="4"/>
      <c r="B966" s="4"/>
      <c r="C966" s="4"/>
      <c r="D966" s="5"/>
      <c r="E966" s="97"/>
      <c r="F966" s="98"/>
      <c r="G966" s="98"/>
      <c r="H966" s="98"/>
      <c r="I966" s="98"/>
      <c r="J966" s="98"/>
      <c r="K966" s="98"/>
      <c r="L966" s="98"/>
      <c r="M966" s="99"/>
      <c r="N966" s="99"/>
      <c r="O966" s="3"/>
      <c r="P966" s="3"/>
      <c r="Q966" s="100"/>
      <c r="R966" s="2"/>
      <c r="S966" s="2"/>
      <c r="T966" s="2"/>
      <c r="U966" s="2"/>
      <c r="V966" s="2"/>
      <c r="W966" s="2"/>
      <c r="X966" s="2"/>
      <c r="Y966" s="3"/>
      <c r="Z966" s="3"/>
    </row>
    <row r="967" ht="13.5" customHeight="1">
      <c r="A967" s="4"/>
      <c r="B967" s="4"/>
      <c r="C967" s="4"/>
      <c r="D967" s="5"/>
      <c r="E967" s="97"/>
      <c r="F967" s="98"/>
      <c r="G967" s="98"/>
      <c r="H967" s="98"/>
      <c r="I967" s="98"/>
      <c r="J967" s="98"/>
      <c r="K967" s="98"/>
      <c r="L967" s="98"/>
      <c r="M967" s="99"/>
      <c r="N967" s="99"/>
      <c r="O967" s="3"/>
      <c r="P967" s="3"/>
      <c r="Q967" s="100"/>
      <c r="R967" s="2"/>
      <c r="S967" s="2"/>
      <c r="T967" s="2"/>
      <c r="U967" s="2"/>
      <c r="V967" s="2"/>
      <c r="W967" s="2"/>
      <c r="X967" s="2"/>
      <c r="Y967" s="3"/>
      <c r="Z967" s="3"/>
    </row>
    <row r="968" ht="13.5" customHeight="1">
      <c r="A968" s="4"/>
      <c r="B968" s="4"/>
      <c r="C968" s="4"/>
      <c r="D968" s="5"/>
      <c r="E968" s="97"/>
      <c r="F968" s="98"/>
      <c r="G968" s="98"/>
      <c r="H968" s="98"/>
      <c r="I968" s="98"/>
      <c r="J968" s="98"/>
      <c r="K968" s="98"/>
      <c r="L968" s="98"/>
      <c r="M968" s="99"/>
      <c r="N968" s="99"/>
      <c r="O968" s="3"/>
      <c r="P968" s="3"/>
      <c r="Q968" s="100"/>
      <c r="R968" s="2"/>
      <c r="S968" s="2"/>
      <c r="T968" s="2"/>
      <c r="U968" s="2"/>
      <c r="V968" s="2"/>
      <c r="W968" s="2"/>
      <c r="X968" s="2"/>
      <c r="Y968" s="3"/>
      <c r="Z968" s="3"/>
    </row>
    <row r="969" ht="13.5" customHeight="1">
      <c r="A969" s="4"/>
      <c r="B969" s="4"/>
      <c r="C969" s="4"/>
      <c r="D969" s="5"/>
      <c r="E969" s="97"/>
      <c r="F969" s="98"/>
      <c r="G969" s="98"/>
      <c r="H969" s="98"/>
      <c r="I969" s="98"/>
      <c r="J969" s="98"/>
      <c r="K969" s="98"/>
      <c r="L969" s="98"/>
      <c r="M969" s="99"/>
      <c r="N969" s="99"/>
      <c r="O969" s="3"/>
      <c r="P969" s="3"/>
      <c r="Q969" s="100"/>
      <c r="R969" s="2"/>
      <c r="S969" s="2"/>
      <c r="T969" s="2"/>
      <c r="U969" s="2"/>
      <c r="V969" s="2"/>
      <c r="W969" s="2"/>
      <c r="X969" s="2"/>
      <c r="Y969" s="3"/>
      <c r="Z969" s="3"/>
    </row>
    <row r="970" ht="13.5" customHeight="1">
      <c r="A970" s="4"/>
      <c r="B970" s="4"/>
      <c r="C970" s="4"/>
      <c r="D970" s="5"/>
      <c r="E970" s="97"/>
      <c r="F970" s="98"/>
      <c r="G970" s="98"/>
      <c r="H970" s="98"/>
      <c r="I970" s="98"/>
      <c r="J970" s="98"/>
      <c r="K970" s="98"/>
      <c r="L970" s="98"/>
      <c r="M970" s="99"/>
      <c r="N970" s="99"/>
      <c r="O970" s="3"/>
      <c r="P970" s="3"/>
      <c r="Q970" s="100"/>
      <c r="R970" s="2"/>
      <c r="S970" s="2"/>
      <c r="T970" s="2"/>
      <c r="U970" s="2"/>
      <c r="V970" s="2"/>
      <c r="W970" s="2"/>
      <c r="X970" s="2"/>
      <c r="Y970" s="3"/>
      <c r="Z970" s="3"/>
    </row>
    <row r="971" ht="13.5" customHeight="1">
      <c r="A971" s="4"/>
      <c r="B971" s="4"/>
      <c r="C971" s="4"/>
      <c r="D971" s="5"/>
      <c r="E971" s="97"/>
      <c r="F971" s="98"/>
      <c r="G971" s="98"/>
      <c r="H971" s="98"/>
      <c r="I971" s="98"/>
      <c r="J971" s="98"/>
      <c r="K971" s="98"/>
      <c r="L971" s="98"/>
      <c r="M971" s="99"/>
      <c r="N971" s="99"/>
      <c r="O971" s="3"/>
      <c r="P971" s="3"/>
      <c r="Q971" s="100"/>
      <c r="R971" s="2"/>
      <c r="S971" s="2"/>
      <c r="T971" s="2"/>
      <c r="U971" s="2"/>
      <c r="V971" s="2"/>
      <c r="W971" s="2"/>
      <c r="X971" s="2"/>
      <c r="Y971" s="3"/>
      <c r="Z971" s="3"/>
    </row>
    <row r="972" ht="13.5" customHeight="1">
      <c r="A972" s="4"/>
      <c r="B972" s="4"/>
      <c r="C972" s="4"/>
      <c r="D972" s="5"/>
      <c r="E972" s="97"/>
      <c r="F972" s="98"/>
      <c r="G972" s="98"/>
      <c r="H972" s="98"/>
      <c r="I972" s="98"/>
      <c r="J972" s="98"/>
      <c r="K972" s="98"/>
      <c r="L972" s="98"/>
      <c r="M972" s="99"/>
      <c r="N972" s="99"/>
      <c r="O972" s="3"/>
      <c r="P972" s="3"/>
      <c r="Q972" s="100"/>
      <c r="R972" s="2"/>
      <c r="S972" s="2"/>
      <c r="T972" s="2"/>
      <c r="U972" s="2"/>
      <c r="V972" s="2"/>
      <c r="W972" s="2"/>
      <c r="X972" s="2"/>
      <c r="Y972" s="3"/>
      <c r="Z972" s="3"/>
    </row>
    <row r="973" ht="13.5" customHeight="1">
      <c r="A973" s="4"/>
      <c r="B973" s="4"/>
      <c r="C973" s="4"/>
      <c r="D973" s="5"/>
      <c r="E973" s="97"/>
      <c r="F973" s="98"/>
      <c r="G973" s="98"/>
      <c r="H973" s="98"/>
      <c r="I973" s="98"/>
      <c r="J973" s="98"/>
      <c r="K973" s="98"/>
      <c r="L973" s="98"/>
      <c r="M973" s="99"/>
      <c r="N973" s="99"/>
      <c r="O973" s="3"/>
      <c r="P973" s="3"/>
      <c r="Q973" s="100"/>
      <c r="R973" s="2"/>
      <c r="S973" s="2"/>
      <c r="T973" s="2"/>
      <c r="U973" s="2"/>
      <c r="V973" s="2"/>
      <c r="W973" s="2"/>
      <c r="X973" s="2"/>
      <c r="Y973" s="3"/>
      <c r="Z973" s="3"/>
    </row>
    <row r="974" ht="13.5" customHeight="1">
      <c r="A974" s="4"/>
      <c r="B974" s="4"/>
      <c r="C974" s="4"/>
      <c r="D974" s="5"/>
      <c r="E974" s="97"/>
      <c r="F974" s="98"/>
      <c r="G974" s="98"/>
      <c r="H974" s="98"/>
      <c r="I974" s="98"/>
      <c r="J974" s="98"/>
      <c r="K974" s="98"/>
      <c r="L974" s="98"/>
      <c r="M974" s="99"/>
      <c r="N974" s="99"/>
      <c r="O974" s="3"/>
      <c r="P974" s="3"/>
      <c r="Q974" s="100"/>
      <c r="R974" s="2"/>
      <c r="S974" s="2"/>
      <c r="T974" s="2"/>
      <c r="U974" s="2"/>
      <c r="V974" s="2"/>
      <c r="W974" s="2"/>
      <c r="X974" s="2"/>
      <c r="Y974" s="3"/>
      <c r="Z974" s="3"/>
    </row>
    <row r="975" ht="13.5" customHeight="1">
      <c r="A975" s="4"/>
      <c r="B975" s="4"/>
      <c r="C975" s="4"/>
      <c r="D975" s="5"/>
      <c r="E975" s="97"/>
      <c r="F975" s="98"/>
      <c r="G975" s="98"/>
      <c r="H975" s="98"/>
      <c r="I975" s="98"/>
      <c r="J975" s="98"/>
      <c r="K975" s="98"/>
      <c r="L975" s="98"/>
      <c r="M975" s="99"/>
      <c r="N975" s="99"/>
      <c r="O975" s="3"/>
      <c r="P975" s="3"/>
      <c r="Q975" s="100"/>
      <c r="R975" s="2"/>
      <c r="S975" s="2"/>
      <c r="T975" s="2"/>
      <c r="U975" s="2"/>
      <c r="V975" s="2"/>
      <c r="W975" s="2"/>
      <c r="X975" s="2"/>
      <c r="Y975" s="3"/>
      <c r="Z975" s="3"/>
    </row>
    <row r="976" ht="13.5" customHeight="1">
      <c r="A976" s="4"/>
      <c r="B976" s="4"/>
      <c r="C976" s="4"/>
      <c r="D976" s="5"/>
      <c r="E976" s="97"/>
      <c r="F976" s="98"/>
      <c r="G976" s="98"/>
      <c r="H976" s="98"/>
      <c r="I976" s="98"/>
      <c r="J976" s="98"/>
      <c r="K976" s="98"/>
      <c r="L976" s="98"/>
      <c r="M976" s="99"/>
      <c r="N976" s="99"/>
      <c r="O976" s="3"/>
      <c r="P976" s="3"/>
      <c r="Q976" s="100"/>
      <c r="R976" s="2"/>
      <c r="S976" s="2"/>
      <c r="T976" s="2"/>
      <c r="U976" s="2"/>
      <c r="V976" s="2"/>
      <c r="W976" s="2"/>
      <c r="X976" s="2"/>
      <c r="Y976" s="3"/>
      <c r="Z976" s="3"/>
    </row>
    <row r="977" ht="13.5" customHeight="1">
      <c r="A977" s="4"/>
      <c r="B977" s="4"/>
      <c r="C977" s="4"/>
      <c r="D977" s="5"/>
      <c r="E977" s="97"/>
      <c r="F977" s="98"/>
      <c r="G977" s="98"/>
      <c r="H977" s="98"/>
      <c r="I977" s="98"/>
      <c r="J977" s="98"/>
      <c r="K977" s="98"/>
      <c r="L977" s="98"/>
      <c r="M977" s="99"/>
      <c r="N977" s="99"/>
      <c r="O977" s="3"/>
      <c r="P977" s="3"/>
      <c r="Q977" s="100"/>
      <c r="R977" s="2"/>
      <c r="S977" s="2"/>
      <c r="T977" s="2"/>
      <c r="U977" s="2"/>
      <c r="V977" s="2"/>
      <c r="W977" s="2"/>
      <c r="X977" s="2"/>
      <c r="Y977" s="3"/>
      <c r="Z977" s="3"/>
    </row>
    <row r="978" ht="13.5" customHeight="1">
      <c r="A978" s="4"/>
      <c r="B978" s="4"/>
      <c r="C978" s="4"/>
      <c r="D978" s="5"/>
      <c r="E978" s="97"/>
      <c r="F978" s="98"/>
      <c r="G978" s="98"/>
      <c r="H978" s="98"/>
      <c r="I978" s="98"/>
      <c r="J978" s="98"/>
      <c r="K978" s="98"/>
      <c r="L978" s="98"/>
      <c r="M978" s="99"/>
      <c r="N978" s="99"/>
      <c r="O978" s="3"/>
      <c r="P978" s="3"/>
      <c r="Q978" s="100"/>
      <c r="R978" s="2"/>
      <c r="S978" s="2"/>
      <c r="T978" s="2"/>
      <c r="U978" s="2"/>
      <c r="V978" s="2"/>
      <c r="W978" s="2"/>
      <c r="X978" s="2"/>
      <c r="Y978" s="3"/>
      <c r="Z978" s="3"/>
    </row>
    <row r="979" ht="13.5" customHeight="1">
      <c r="A979" s="4"/>
      <c r="B979" s="4"/>
      <c r="C979" s="4"/>
      <c r="D979" s="5"/>
      <c r="E979" s="97"/>
      <c r="F979" s="98"/>
      <c r="G979" s="98"/>
      <c r="H979" s="98"/>
      <c r="I979" s="98"/>
      <c r="J979" s="98"/>
      <c r="K979" s="98"/>
      <c r="L979" s="98"/>
      <c r="M979" s="99"/>
      <c r="N979" s="99"/>
      <c r="O979" s="3"/>
      <c r="P979" s="3"/>
      <c r="Q979" s="100"/>
      <c r="R979" s="2"/>
      <c r="S979" s="2"/>
      <c r="T979" s="2"/>
      <c r="U979" s="2"/>
      <c r="V979" s="2"/>
      <c r="W979" s="2"/>
      <c r="X979" s="2"/>
      <c r="Y979" s="3"/>
      <c r="Z979" s="3"/>
    </row>
    <row r="980" ht="13.5" customHeight="1">
      <c r="A980" s="4"/>
      <c r="B980" s="4"/>
      <c r="C980" s="4"/>
      <c r="D980" s="5"/>
      <c r="E980" s="97"/>
      <c r="F980" s="98"/>
      <c r="G980" s="98"/>
      <c r="H980" s="98"/>
      <c r="I980" s="98"/>
      <c r="J980" s="98"/>
      <c r="K980" s="98"/>
      <c r="L980" s="98"/>
      <c r="M980" s="99"/>
      <c r="N980" s="99"/>
      <c r="O980" s="3"/>
      <c r="P980" s="3"/>
      <c r="Q980" s="100"/>
      <c r="R980" s="2"/>
      <c r="S980" s="2"/>
      <c r="T980" s="2"/>
      <c r="U980" s="2"/>
      <c r="V980" s="2"/>
      <c r="W980" s="2"/>
      <c r="X980" s="2"/>
      <c r="Y980" s="3"/>
      <c r="Z980" s="3"/>
    </row>
    <row r="981" ht="13.5" customHeight="1">
      <c r="A981" s="4"/>
      <c r="B981" s="4"/>
      <c r="C981" s="4"/>
      <c r="D981" s="5"/>
      <c r="E981" s="97"/>
      <c r="F981" s="98"/>
      <c r="G981" s="98"/>
      <c r="H981" s="98"/>
      <c r="I981" s="98"/>
      <c r="J981" s="98"/>
      <c r="K981" s="98"/>
      <c r="L981" s="98"/>
      <c r="M981" s="99"/>
      <c r="N981" s="99"/>
      <c r="O981" s="3"/>
      <c r="P981" s="3"/>
      <c r="Q981" s="100"/>
      <c r="R981" s="2"/>
      <c r="S981" s="2"/>
      <c r="T981" s="2"/>
      <c r="U981" s="2"/>
      <c r="V981" s="2"/>
      <c r="W981" s="2"/>
      <c r="X981" s="2"/>
      <c r="Y981" s="3"/>
      <c r="Z981" s="3"/>
    </row>
    <row r="982" ht="13.5" customHeight="1">
      <c r="A982" s="4"/>
      <c r="B982" s="4"/>
      <c r="C982" s="4"/>
      <c r="D982" s="5"/>
      <c r="E982" s="97"/>
      <c r="F982" s="98"/>
      <c r="G982" s="98"/>
      <c r="H982" s="98"/>
      <c r="I982" s="98"/>
      <c r="J982" s="98"/>
      <c r="K982" s="98"/>
      <c r="L982" s="98"/>
      <c r="M982" s="99"/>
      <c r="N982" s="99"/>
      <c r="O982" s="3"/>
      <c r="P982" s="3"/>
      <c r="Q982" s="100"/>
      <c r="R982" s="2"/>
      <c r="S982" s="2"/>
      <c r="T982" s="2"/>
      <c r="U982" s="2"/>
      <c r="V982" s="2"/>
      <c r="W982" s="2"/>
      <c r="X982" s="2"/>
      <c r="Y982" s="3"/>
      <c r="Z982" s="3"/>
    </row>
    <row r="983" ht="13.5" customHeight="1">
      <c r="A983" s="4"/>
      <c r="B983" s="4"/>
      <c r="C983" s="4"/>
      <c r="D983" s="5"/>
      <c r="E983" s="97"/>
      <c r="F983" s="98"/>
      <c r="G983" s="98"/>
      <c r="H983" s="98"/>
      <c r="I983" s="98"/>
      <c r="J983" s="98"/>
      <c r="K983" s="98"/>
      <c r="L983" s="98"/>
      <c r="M983" s="99"/>
      <c r="N983" s="99"/>
      <c r="O983" s="3"/>
      <c r="P983" s="3"/>
      <c r="Q983" s="100"/>
      <c r="R983" s="2"/>
      <c r="S983" s="2"/>
      <c r="T983" s="2"/>
      <c r="U983" s="2"/>
      <c r="V983" s="2"/>
      <c r="W983" s="2"/>
      <c r="X983" s="2"/>
      <c r="Y983" s="3"/>
      <c r="Z983" s="3"/>
    </row>
    <row r="984" ht="13.5" customHeight="1">
      <c r="A984" s="4"/>
      <c r="B984" s="4"/>
      <c r="C984" s="4"/>
      <c r="D984" s="5"/>
      <c r="E984" s="97"/>
      <c r="F984" s="98"/>
      <c r="G984" s="98"/>
      <c r="H984" s="98"/>
      <c r="I984" s="98"/>
      <c r="J984" s="98"/>
      <c r="K984" s="98"/>
      <c r="L984" s="98"/>
      <c r="M984" s="99"/>
      <c r="N984" s="99"/>
      <c r="O984" s="3"/>
      <c r="P984" s="3"/>
      <c r="Q984" s="100"/>
      <c r="R984" s="2"/>
      <c r="S984" s="2"/>
      <c r="T984" s="2"/>
      <c r="U984" s="2"/>
      <c r="V984" s="2"/>
      <c r="W984" s="2"/>
      <c r="X984" s="2"/>
      <c r="Y984" s="3"/>
      <c r="Z984" s="3"/>
    </row>
    <row r="985" ht="13.5" customHeight="1">
      <c r="A985" s="4"/>
      <c r="B985" s="4"/>
      <c r="C985" s="4"/>
      <c r="D985" s="5"/>
      <c r="E985" s="97"/>
      <c r="F985" s="98"/>
      <c r="G985" s="98"/>
      <c r="H985" s="98"/>
      <c r="I985" s="98"/>
      <c r="J985" s="98"/>
      <c r="K985" s="98"/>
      <c r="L985" s="98"/>
      <c r="M985" s="99"/>
      <c r="N985" s="99"/>
      <c r="O985" s="3"/>
      <c r="P985" s="3"/>
      <c r="Q985" s="100"/>
      <c r="R985" s="2"/>
      <c r="S985" s="2"/>
      <c r="T985" s="2"/>
      <c r="U985" s="2"/>
      <c r="V985" s="2"/>
      <c r="W985" s="2"/>
      <c r="X985" s="2"/>
      <c r="Y985" s="3"/>
      <c r="Z985" s="3"/>
    </row>
    <row r="986" ht="13.5" customHeight="1">
      <c r="A986" s="4"/>
      <c r="B986" s="4"/>
      <c r="C986" s="4"/>
      <c r="D986" s="5"/>
      <c r="E986" s="97"/>
      <c r="F986" s="98"/>
      <c r="G986" s="98"/>
      <c r="H986" s="98"/>
      <c r="I986" s="98"/>
      <c r="J986" s="98"/>
      <c r="K986" s="98"/>
      <c r="L986" s="98"/>
      <c r="M986" s="99"/>
      <c r="N986" s="99"/>
      <c r="O986" s="3"/>
      <c r="P986" s="3"/>
      <c r="Q986" s="100"/>
      <c r="R986" s="2"/>
      <c r="S986" s="2"/>
      <c r="T986" s="2"/>
      <c r="U986" s="2"/>
      <c r="V986" s="2"/>
      <c r="W986" s="2"/>
      <c r="X986" s="2"/>
      <c r="Y986" s="3"/>
      <c r="Z986" s="3"/>
    </row>
    <row r="987" ht="13.5" customHeight="1">
      <c r="A987" s="4"/>
      <c r="B987" s="4"/>
      <c r="C987" s="4"/>
      <c r="D987" s="5"/>
      <c r="E987" s="97"/>
      <c r="F987" s="98"/>
      <c r="G987" s="98"/>
      <c r="H987" s="98"/>
      <c r="I987" s="98"/>
      <c r="J987" s="98"/>
      <c r="K987" s="98"/>
      <c r="L987" s="98"/>
      <c r="M987" s="99"/>
      <c r="N987" s="99"/>
      <c r="O987" s="3"/>
      <c r="P987" s="3"/>
      <c r="Q987" s="100"/>
      <c r="R987" s="2"/>
      <c r="S987" s="2"/>
      <c r="T987" s="2"/>
      <c r="U987" s="2"/>
      <c r="V987" s="2"/>
      <c r="W987" s="2"/>
      <c r="X987" s="2"/>
      <c r="Y987" s="3"/>
      <c r="Z987" s="3"/>
    </row>
    <row r="988" ht="13.5" customHeight="1">
      <c r="A988" s="4"/>
      <c r="B988" s="4"/>
      <c r="C988" s="4"/>
      <c r="D988" s="5"/>
      <c r="E988" s="97"/>
      <c r="F988" s="98"/>
      <c r="G988" s="98"/>
      <c r="H988" s="98"/>
      <c r="I988" s="98"/>
      <c r="J988" s="98"/>
      <c r="K988" s="98"/>
      <c r="L988" s="98"/>
      <c r="M988" s="99"/>
      <c r="N988" s="99"/>
      <c r="O988" s="3"/>
      <c r="P988" s="3"/>
      <c r="Q988" s="100"/>
      <c r="R988" s="2"/>
      <c r="S988" s="2"/>
      <c r="T988" s="2"/>
      <c r="U988" s="2"/>
      <c r="V988" s="2"/>
      <c r="W988" s="2"/>
      <c r="X988" s="2"/>
      <c r="Y988" s="3"/>
      <c r="Z988" s="3"/>
    </row>
    <row r="989" ht="13.5" customHeight="1">
      <c r="A989" s="4"/>
      <c r="B989" s="4"/>
      <c r="C989" s="4"/>
      <c r="D989" s="5"/>
      <c r="E989" s="97"/>
      <c r="F989" s="98"/>
      <c r="G989" s="98"/>
      <c r="H989" s="98"/>
      <c r="I989" s="98"/>
      <c r="J989" s="98"/>
      <c r="K989" s="98"/>
      <c r="L989" s="98"/>
      <c r="M989" s="99"/>
      <c r="N989" s="99"/>
      <c r="O989" s="3"/>
      <c r="P989" s="3"/>
      <c r="Q989" s="100"/>
      <c r="R989" s="2"/>
      <c r="S989" s="2"/>
      <c r="T989" s="2"/>
      <c r="U989" s="2"/>
      <c r="V989" s="2"/>
      <c r="W989" s="2"/>
      <c r="X989" s="2"/>
      <c r="Y989" s="3"/>
      <c r="Z989" s="3"/>
    </row>
    <row r="990" ht="13.5" customHeight="1">
      <c r="A990" s="4"/>
      <c r="B990" s="4"/>
      <c r="C990" s="4"/>
      <c r="D990" s="5"/>
      <c r="E990" s="97"/>
      <c r="F990" s="98"/>
      <c r="G990" s="98"/>
      <c r="H990" s="98"/>
      <c r="I990" s="98"/>
      <c r="J990" s="98"/>
      <c r="K990" s="98"/>
      <c r="L990" s="98"/>
      <c r="M990" s="99"/>
      <c r="N990" s="99"/>
      <c r="O990" s="3"/>
      <c r="P990" s="3"/>
      <c r="Q990" s="100"/>
      <c r="R990" s="2"/>
      <c r="S990" s="2"/>
      <c r="T990" s="2"/>
      <c r="U990" s="2"/>
      <c r="V990" s="2"/>
      <c r="W990" s="2"/>
      <c r="X990" s="2"/>
      <c r="Y990" s="3"/>
      <c r="Z990" s="3"/>
    </row>
    <row r="991" ht="13.5" customHeight="1">
      <c r="A991" s="4"/>
      <c r="B991" s="4"/>
      <c r="C991" s="4"/>
      <c r="D991" s="5"/>
      <c r="E991" s="97"/>
      <c r="F991" s="98"/>
      <c r="G991" s="98"/>
      <c r="H991" s="98"/>
      <c r="I991" s="98"/>
      <c r="J991" s="98"/>
      <c r="K991" s="98"/>
      <c r="L991" s="98"/>
      <c r="M991" s="99"/>
      <c r="N991" s="99"/>
      <c r="O991" s="3"/>
      <c r="P991" s="3"/>
      <c r="Q991" s="100"/>
      <c r="R991" s="2"/>
      <c r="S991" s="2"/>
      <c r="T991" s="2"/>
      <c r="U991" s="2"/>
      <c r="V991" s="2"/>
      <c r="W991" s="2"/>
      <c r="X991" s="2"/>
      <c r="Y991" s="3"/>
      <c r="Z991" s="3"/>
    </row>
    <row r="992" ht="13.5" customHeight="1">
      <c r="A992" s="4"/>
      <c r="B992" s="4"/>
      <c r="C992" s="4"/>
      <c r="D992" s="5"/>
      <c r="E992" s="97"/>
      <c r="F992" s="98"/>
      <c r="G992" s="98"/>
      <c r="H992" s="98"/>
      <c r="I992" s="98"/>
      <c r="J992" s="98"/>
      <c r="K992" s="98"/>
      <c r="L992" s="98"/>
      <c r="M992" s="99"/>
      <c r="N992" s="99"/>
      <c r="O992" s="3"/>
      <c r="P992" s="3"/>
      <c r="Q992" s="100"/>
      <c r="R992" s="2"/>
      <c r="S992" s="2"/>
      <c r="T992" s="2"/>
      <c r="U992" s="2"/>
      <c r="V992" s="2"/>
      <c r="W992" s="2"/>
      <c r="X992" s="2"/>
      <c r="Y992" s="3"/>
      <c r="Z992" s="3"/>
    </row>
    <row r="993" ht="13.5" customHeight="1">
      <c r="A993" s="4"/>
      <c r="B993" s="4"/>
      <c r="C993" s="4"/>
      <c r="D993" s="5"/>
      <c r="E993" s="97"/>
      <c r="F993" s="98"/>
      <c r="G993" s="98"/>
      <c r="H993" s="98"/>
      <c r="I993" s="98"/>
      <c r="J993" s="98"/>
      <c r="K993" s="98"/>
      <c r="L993" s="98"/>
      <c r="M993" s="99"/>
      <c r="N993" s="99"/>
      <c r="O993" s="3"/>
      <c r="P993" s="3"/>
      <c r="Q993" s="100"/>
      <c r="R993" s="2"/>
      <c r="S993" s="2"/>
      <c r="T993" s="2"/>
      <c r="U993" s="2"/>
      <c r="V993" s="2"/>
      <c r="W993" s="2"/>
      <c r="X993" s="2"/>
      <c r="Y993" s="3"/>
      <c r="Z993" s="3"/>
    </row>
    <row r="994" ht="13.5" customHeight="1">
      <c r="A994" s="4"/>
      <c r="B994" s="4"/>
      <c r="C994" s="4"/>
      <c r="D994" s="5"/>
      <c r="E994" s="97"/>
      <c r="F994" s="98"/>
      <c r="G994" s="98"/>
      <c r="H994" s="98"/>
      <c r="I994" s="98"/>
      <c r="J994" s="98"/>
      <c r="K994" s="98"/>
      <c r="L994" s="98"/>
      <c r="M994" s="99"/>
      <c r="N994" s="99"/>
      <c r="O994" s="3"/>
      <c r="P994" s="3"/>
      <c r="Q994" s="100"/>
      <c r="R994" s="2"/>
      <c r="S994" s="2"/>
      <c r="T994" s="2"/>
      <c r="U994" s="2"/>
      <c r="V994" s="2"/>
      <c r="W994" s="2"/>
      <c r="X994" s="2"/>
      <c r="Y994" s="3"/>
      <c r="Z994" s="3"/>
    </row>
    <row r="995" ht="13.5" customHeight="1">
      <c r="A995" s="4"/>
      <c r="B995" s="4"/>
      <c r="C995" s="4"/>
      <c r="D995" s="5"/>
      <c r="E995" s="97"/>
      <c r="F995" s="98"/>
      <c r="G995" s="98"/>
      <c r="H995" s="98"/>
      <c r="I995" s="98"/>
      <c r="J995" s="98"/>
      <c r="K995" s="98"/>
      <c r="L995" s="98"/>
      <c r="M995" s="99"/>
      <c r="N995" s="99"/>
      <c r="O995" s="3"/>
      <c r="P995" s="3"/>
      <c r="Q995" s="100"/>
      <c r="R995" s="2"/>
      <c r="S995" s="2"/>
      <c r="T995" s="2"/>
      <c r="U995" s="2"/>
      <c r="V995" s="2"/>
      <c r="W995" s="2"/>
      <c r="X995" s="2"/>
      <c r="Y995" s="3"/>
      <c r="Z995" s="3"/>
    </row>
    <row r="996" ht="13.5" customHeight="1">
      <c r="A996" s="4"/>
      <c r="B996" s="4"/>
      <c r="C996" s="4"/>
      <c r="D996" s="5"/>
      <c r="E996" s="97"/>
      <c r="F996" s="98"/>
      <c r="G996" s="98"/>
      <c r="H996" s="98"/>
      <c r="I996" s="98"/>
      <c r="J996" s="98"/>
      <c r="K996" s="98"/>
      <c r="L996" s="98"/>
      <c r="M996" s="99"/>
      <c r="N996" s="99"/>
      <c r="O996" s="3"/>
      <c r="P996" s="3"/>
      <c r="Q996" s="100"/>
      <c r="R996" s="2"/>
      <c r="S996" s="2"/>
      <c r="T996" s="2"/>
      <c r="U996" s="2"/>
      <c r="V996" s="2"/>
      <c r="W996" s="2"/>
      <c r="X996" s="2"/>
      <c r="Y996" s="3"/>
      <c r="Z996" s="3"/>
    </row>
    <row r="997" ht="13.5" customHeight="1">
      <c r="A997" s="4"/>
      <c r="B997" s="4"/>
      <c r="C997" s="4"/>
      <c r="D997" s="5"/>
      <c r="E997" s="97"/>
      <c r="F997" s="98"/>
      <c r="G997" s="98"/>
      <c r="H997" s="98"/>
      <c r="I997" s="98"/>
      <c r="J997" s="98"/>
      <c r="K997" s="98"/>
      <c r="L997" s="98"/>
      <c r="M997" s="99"/>
      <c r="N997" s="99"/>
      <c r="O997" s="3"/>
      <c r="P997" s="3"/>
      <c r="Q997" s="100"/>
      <c r="R997" s="2"/>
      <c r="S997" s="2"/>
      <c r="T997" s="2"/>
      <c r="U997" s="2"/>
      <c r="V997" s="2"/>
      <c r="W997" s="2"/>
      <c r="X997" s="2"/>
      <c r="Y997" s="3"/>
      <c r="Z997" s="3"/>
    </row>
    <row r="998" ht="13.5" customHeight="1">
      <c r="A998" s="4"/>
      <c r="B998" s="4"/>
      <c r="C998" s="4"/>
      <c r="D998" s="5"/>
      <c r="E998" s="97"/>
      <c r="F998" s="98"/>
      <c r="G998" s="98"/>
      <c r="H998" s="98"/>
      <c r="I998" s="98"/>
      <c r="J998" s="98"/>
      <c r="K998" s="98"/>
      <c r="L998" s="98"/>
      <c r="M998" s="99"/>
      <c r="N998" s="99"/>
      <c r="O998" s="3"/>
      <c r="P998" s="3"/>
      <c r="Q998" s="100"/>
      <c r="R998" s="2"/>
      <c r="S998" s="2"/>
      <c r="T998" s="2"/>
      <c r="U998" s="2"/>
      <c r="V998" s="2"/>
      <c r="W998" s="2"/>
      <c r="X998" s="2"/>
      <c r="Y998" s="3"/>
      <c r="Z998" s="3"/>
    </row>
    <row r="999" ht="13.5" customHeight="1">
      <c r="A999" s="4"/>
      <c r="B999" s="4"/>
      <c r="C999" s="4"/>
      <c r="D999" s="5"/>
      <c r="E999" s="97"/>
      <c r="F999" s="98"/>
      <c r="G999" s="98"/>
      <c r="H999" s="98"/>
      <c r="I999" s="98"/>
      <c r="J999" s="98"/>
      <c r="K999" s="98"/>
      <c r="L999" s="98"/>
      <c r="M999" s="99"/>
      <c r="N999" s="99"/>
      <c r="O999" s="3"/>
      <c r="P999" s="3"/>
      <c r="Q999" s="100"/>
      <c r="R999" s="2"/>
      <c r="S999" s="2"/>
      <c r="T999" s="2"/>
      <c r="U999" s="2"/>
      <c r="V999" s="2"/>
      <c r="W999" s="2"/>
      <c r="X999" s="2"/>
      <c r="Y999" s="3"/>
      <c r="Z999" s="3"/>
    </row>
    <row r="1000" ht="13.5" customHeight="1">
      <c r="A1000" s="4"/>
      <c r="B1000" s="4"/>
      <c r="C1000" s="4"/>
      <c r="D1000" s="5"/>
      <c r="E1000" s="97"/>
      <c r="F1000" s="98"/>
      <c r="G1000" s="98"/>
      <c r="H1000" s="98"/>
      <c r="I1000" s="98"/>
      <c r="J1000" s="98"/>
      <c r="K1000" s="98"/>
      <c r="L1000" s="98"/>
      <c r="M1000" s="99"/>
      <c r="N1000" s="99"/>
      <c r="O1000" s="3"/>
      <c r="P1000" s="3"/>
      <c r="Q1000" s="100"/>
      <c r="R1000" s="2"/>
      <c r="S1000" s="2"/>
      <c r="T1000" s="2"/>
      <c r="U1000" s="2"/>
      <c r="V1000" s="2"/>
      <c r="W1000" s="2"/>
      <c r="X1000" s="2"/>
      <c r="Y1000" s="3"/>
      <c r="Z1000" s="3"/>
    </row>
  </sheetData>
  <mergeCells count="388">
    <mergeCell ref="E9:H9"/>
    <mergeCell ref="M9:N9"/>
    <mergeCell ref="E12:M13"/>
    <mergeCell ref="N12:O13"/>
    <mergeCell ref="P12:Q13"/>
    <mergeCell ref="L15:M15"/>
    <mergeCell ref="N15:O15"/>
    <mergeCell ref="E15:K15"/>
    <mergeCell ref="F17:H17"/>
    <mergeCell ref="I17:K17"/>
    <mergeCell ref="L17:M17"/>
    <mergeCell ref="N17:O17"/>
    <mergeCell ref="L18:M18"/>
    <mergeCell ref="N18:O18"/>
    <mergeCell ref="M4:N4"/>
    <mergeCell ref="M5:N5"/>
    <mergeCell ref="E5:H5"/>
    <mergeCell ref="E6:H6"/>
    <mergeCell ref="I6:K6"/>
    <mergeCell ref="M6:N6"/>
    <mergeCell ref="E7:H7"/>
    <mergeCell ref="I7:K7"/>
    <mergeCell ref="M7:N7"/>
    <mergeCell ref="E8:H8"/>
    <mergeCell ref="M8:N8"/>
    <mergeCell ref="E2:Q2"/>
    <mergeCell ref="E3:K3"/>
    <mergeCell ref="P3:Q9"/>
    <mergeCell ref="E4:K4"/>
    <mergeCell ref="I5:K5"/>
    <mergeCell ref="L5:L9"/>
    <mergeCell ref="O5:O9"/>
    <mergeCell ref="I18:K18"/>
    <mergeCell ref="I19:K19"/>
    <mergeCell ref="L19:M19"/>
    <mergeCell ref="N19:O19"/>
    <mergeCell ref="I20:K20"/>
    <mergeCell ref="L20:M20"/>
    <mergeCell ref="N20:O20"/>
    <mergeCell ref="L32:M32"/>
    <mergeCell ref="N32:O32"/>
    <mergeCell ref="I30:K30"/>
    <mergeCell ref="L30:M30"/>
    <mergeCell ref="N30:O30"/>
    <mergeCell ref="I31:K31"/>
    <mergeCell ref="L31:M31"/>
    <mergeCell ref="N31:O31"/>
    <mergeCell ref="I32:K32"/>
    <mergeCell ref="L35:M35"/>
    <mergeCell ref="N35:O35"/>
    <mergeCell ref="I33:K33"/>
    <mergeCell ref="L33:M33"/>
    <mergeCell ref="N33:O33"/>
    <mergeCell ref="I34:K34"/>
    <mergeCell ref="L34:M34"/>
    <mergeCell ref="N34:O34"/>
    <mergeCell ref="I35:K35"/>
    <mergeCell ref="L38:M38"/>
    <mergeCell ref="N38:O38"/>
    <mergeCell ref="I36:K36"/>
    <mergeCell ref="L36:M36"/>
    <mergeCell ref="N36:O36"/>
    <mergeCell ref="I37:K37"/>
    <mergeCell ref="L37:M37"/>
    <mergeCell ref="N37:O37"/>
    <mergeCell ref="I38:K38"/>
    <mergeCell ref="L41:M41"/>
    <mergeCell ref="N41:O41"/>
    <mergeCell ref="I39:K39"/>
    <mergeCell ref="L39:M39"/>
    <mergeCell ref="N39:O39"/>
    <mergeCell ref="I40:K40"/>
    <mergeCell ref="L40:M40"/>
    <mergeCell ref="N40:O40"/>
    <mergeCell ref="I41:K41"/>
    <mergeCell ref="L44:M44"/>
    <mergeCell ref="N44:O44"/>
    <mergeCell ref="I42:K42"/>
    <mergeCell ref="L42:M42"/>
    <mergeCell ref="N42:O42"/>
    <mergeCell ref="I43:K43"/>
    <mergeCell ref="L43:M43"/>
    <mergeCell ref="N43:O43"/>
    <mergeCell ref="I44:K44"/>
    <mergeCell ref="L47:M47"/>
    <mergeCell ref="N47:O47"/>
    <mergeCell ref="I45:K45"/>
    <mergeCell ref="L45:M45"/>
    <mergeCell ref="N45:O45"/>
    <mergeCell ref="I46:K46"/>
    <mergeCell ref="L46:M46"/>
    <mergeCell ref="N46:O46"/>
    <mergeCell ref="I47:K47"/>
    <mergeCell ref="L50:M50"/>
    <mergeCell ref="N50:O50"/>
    <mergeCell ref="I48:K48"/>
    <mergeCell ref="L48:M48"/>
    <mergeCell ref="N48:O48"/>
    <mergeCell ref="I49:K49"/>
    <mergeCell ref="L49:M49"/>
    <mergeCell ref="N49:O49"/>
    <mergeCell ref="I50:K50"/>
    <mergeCell ref="L53:M53"/>
    <mergeCell ref="N53:O53"/>
    <mergeCell ref="I51:K51"/>
    <mergeCell ref="L51:M51"/>
    <mergeCell ref="N51:O51"/>
    <mergeCell ref="I52:K52"/>
    <mergeCell ref="L52:M52"/>
    <mergeCell ref="N52:O52"/>
    <mergeCell ref="I53:K53"/>
    <mergeCell ref="L56:M56"/>
    <mergeCell ref="N56:O56"/>
    <mergeCell ref="I54:K54"/>
    <mergeCell ref="L54:M54"/>
    <mergeCell ref="N54:O54"/>
    <mergeCell ref="I55:K55"/>
    <mergeCell ref="L55:M55"/>
    <mergeCell ref="N55:O55"/>
    <mergeCell ref="I56:K56"/>
    <mergeCell ref="L59:M59"/>
    <mergeCell ref="N59:O59"/>
    <mergeCell ref="I57:K57"/>
    <mergeCell ref="L57:M57"/>
    <mergeCell ref="N57:O57"/>
    <mergeCell ref="I58:K58"/>
    <mergeCell ref="L58:M58"/>
    <mergeCell ref="N58:O58"/>
    <mergeCell ref="I59:K59"/>
    <mergeCell ref="L62:M62"/>
    <mergeCell ref="N62:O62"/>
    <mergeCell ref="I60:K60"/>
    <mergeCell ref="L60:M60"/>
    <mergeCell ref="N60:O60"/>
    <mergeCell ref="I61:K61"/>
    <mergeCell ref="L61:M61"/>
    <mergeCell ref="N61:O61"/>
    <mergeCell ref="I62:K62"/>
    <mergeCell ref="L65:M65"/>
    <mergeCell ref="N65:O65"/>
    <mergeCell ref="I63:K63"/>
    <mergeCell ref="L63:M63"/>
    <mergeCell ref="N63:O63"/>
    <mergeCell ref="I64:K64"/>
    <mergeCell ref="L64:M64"/>
    <mergeCell ref="N64:O64"/>
    <mergeCell ref="I65:K65"/>
    <mergeCell ref="L68:M68"/>
    <mergeCell ref="N68:O68"/>
    <mergeCell ref="I66:K66"/>
    <mergeCell ref="L66:M66"/>
    <mergeCell ref="N66:O66"/>
    <mergeCell ref="I67:K67"/>
    <mergeCell ref="L67:M67"/>
    <mergeCell ref="N67:O67"/>
    <mergeCell ref="I68:K68"/>
    <mergeCell ref="N71:O71"/>
    <mergeCell ref="N72:O72"/>
    <mergeCell ref="I69:K69"/>
    <mergeCell ref="L69:M69"/>
    <mergeCell ref="N69:O69"/>
    <mergeCell ref="I70:K70"/>
    <mergeCell ref="N70:O70"/>
    <mergeCell ref="I71:K71"/>
    <mergeCell ref="I72:K72"/>
    <mergeCell ref="I73:K73"/>
    <mergeCell ref="N73:O73"/>
    <mergeCell ref="I74:K74"/>
    <mergeCell ref="N74:O74"/>
    <mergeCell ref="I75:K75"/>
    <mergeCell ref="N75:O75"/>
    <mergeCell ref="N76:O76"/>
    <mergeCell ref="N77:O77"/>
    <mergeCell ref="I76:K76"/>
    <mergeCell ref="I77:K77"/>
    <mergeCell ref="I78:K78"/>
    <mergeCell ref="L78:M78"/>
    <mergeCell ref="N78:O78"/>
    <mergeCell ref="L79:M79"/>
    <mergeCell ref="N79:O79"/>
    <mergeCell ref="L23:M23"/>
    <mergeCell ref="N23:O23"/>
    <mergeCell ref="I21:K21"/>
    <mergeCell ref="L21:M21"/>
    <mergeCell ref="N21:O21"/>
    <mergeCell ref="I22:K22"/>
    <mergeCell ref="L22:M22"/>
    <mergeCell ref="N22:O22"/>
    <mergeCell ref="I23:K23"/>
    <mergeCell ref="L26:M26"/>
    <mergeCell ref="N26:O26"/>
    <mergeCell ref="I24:K24"/>
    <mergeCell ref="L24:M24"/>
    <mergeCell ref="N24:O24"/>
    <mergeCell ref="I25:K25"/>
    <mergeCell ref="L25:M25"/>
    <mergeCell ref="N25:O25"/>
    <mergeCell ref="I26:K26"/>
    <mergeCell ref="L29:M29"/>
    <mergeCell ref="N29:O29"/>
    <mergeCell ref="I27:K27"/>
    <mergeCell ref="L27:M27"/>
    <mergeCell ref="N27:O27"/>
    <mergeCell ref="I28:K28"/>
    <mergeCell ref="L28:M28"/>
    <mergeCell ref="N28:O28"/>
    <mergeCell ref="I29:K29"/>
    <mergeCell ref="I79:K79"/>
    <mergeCell ref="I80:K80"/>
    <mergeCell ref="L80:M80"/>
    <mergeCell ref="N80:O80"/>
    <mergeCell ref="I81:K81"/>
    <mergeCell ref="L81:M81"/>
    <mergeCell ref="N81:O81"/>
    <mergeCell ref="L93:M93"/>
    <mergeCell ref="N93:O93"/>
    <mergeCell ref="I91:K91"/>
    <mergeCell ref="L91:M91"/>
    <mergeCell ref="N91:O91"/>
    <mergeCell ref="I92:K92"/>
    <mergeCell ref="L92:M92"/>
    <mergeCell ref="N92:O92"/>
    <mergeCell ref="I93:K93"/>
    <mergeCell ref="L96:M96"/>
    <mergeCell ref="N96:O96"/>
    <mergeCell ref="I94:K94"/>
    <mergeCell ref="L94:M94"/>
    <mergeCell ref="N94:O94"/>
    <mergeCell ref="I95:K95"/>
    <mergeCell ref="L95:M95"/>
    <mergeCell ref="N95:O95"/>
    <mergeCell ref="I96:K96"/>
    <mergeCell ref="L99:M99"/>
    <mergeCell ref="N99:O99"/>
    <mergeCell ref="I97:K97"/>
    <mergeCell ref="L97:M97"/>
    <mergeCell ref="N97:O97"/>
    <mergeCell ref="I98:K98"/>
    <mergeCell ref="L98:M98"/>
    <mergeCell ref="N98:O98"/>
    <mergeCell ref="I99:K99"/>
    <mergeCell ref="L123:M123"/>
    <mergeCell ref="N123:O123"/>
    <mergeCell ref="I121:K121"/>
    <mergeCell ref="L121:M121"/>
    <mergeCell ref="N121:O121"/>
    <mergeCell ref="I122:K122"/>
    <mergeCell ref="L122:M122"/>
    <mergeCell ref="N122:O122"/>
    <mergeCell ref="I123:K123"/>
    <mergeCell ref="L126:M126"/>
    <mergeCell ref="N126:O126"/>
    <mergeCell ref="I124:K124"/>
    <mergeCell ref="L124:M124"/>
    <mergeCell ref="N124:O124"/>
    <mergeCell ref="I125:K125"/>
    <mergeCell ref="L125:M125"/>
    <mergeCell ref="N125:O125"/>
    <mergeCell ref="I126:K126"/>
    <mergeCell ref="L129:M129"/>
    <mergeCell ref="N129:O129"/>
    <mergeCell ref="I127:K127"/>
    <mergeCell ref="L127:M127"/>
    <mergeCell ref="N127:O127"/>
    <mergeCell ref="I128:K128"/>
    <mergeCell ref="L128:M128"/>
    <mergeCell ref="N128:O128"/>
    <mergeCell ref="I129:K129"/>
    <mergeCell ref="L132:M132"/>
    <mergeCell ref="N132:O132"/>
    <mergeCell ref="I130:K130"/>
    <mergeCell ref="L130:M130"/>
    <mergeCell ref="N130:O130"/>
    <mergeCell ref="I131:K131"/>
    <mergeCell ref="L131:M131"/>
    <mergeCell ref="N131:O131"/>
    <mergeCell ref="I132:K132"/>
    <mergeCell ref="L135:M135"/>
    <mergeCell ref="N135:O135"/>
    <mergeCell ref="E139:K139"/>
    <mergeCell ref="L139:M139"/>
    <mergeCell ref="N139:O139"/>
    <mergeCell ref="I133:K133"/>
    <mergeCell ref="L133:M133"/>
    <mergeCell ref="N133:O133"/>
    <mergeCell ref="I134:K134"/>
    <mergeCell ref="L134:M134"/>
    <mergeCell ref="N134:O134"/>
    <mergeCell ref="I135:K135"/>
    <mergeCell ref="L84:M84"/>
    <mergeCell ref="N84:O84"/>
    <mergeCell ref="I82:K82"/>
    <mergeCell ref="L82:M82"/>
    <mergeCell ref="N82:O82"/>
    <mergeCell ref="I83:K83"/>
    <mergeCell ref="L83:M83"/>
    <mergeCell ref="N83:O83"/>
    <mergeCell ref="I84:K84"/>
    <mergeCell ref="L87:M87"/>
    <mergeCell ref="N87:O87"/>
    <mergeCell ref="I85:K85"/>
    <mergeCell ref="L85:M85"/>
    <mergeCell ref="N85:O85"/>
    <mergeCell ref="I86:K86"/>
    <mergeCell ref="L86:M86"/>
    <mergeCell ref="N86:O86"/>
    <mergeCell ref="I87:K87"/>
    <mergeCell ref="L90:M90"/>
    <mergeCell ref="N90:O90"/>
    <mergeCell ref="I88:K88"/>
    <mergeCell ref="L88:M88"/>
    <mergeCell ref="N88:O88"/>
    <mergeCell ref="I89:K89"/>
    <mergeCell ref="L89:M89"/>
    <mergeCell ref="N89:O89"/>
    <mergeCell ref="I90:K90"/>
    <mergeCell ref="L138:M138"/>
    <mergeCell ref="N138:O138"/>
    <mergeCell ref="I136:K136"/>
    <mergeCell ref="L136:M136"/>
    <mergeCell ref="N136:O136"/>
    <mergeCell ref="I137:K137"/>
    <mergeCell ref="L137:M137"/>
    <mergeCell ref="N137:O137"/>
    <mergeCell ref="I138:K138"/>
    <mergeCell ref="L102:M102"/>
    <mergeCell ref="N102:O102"/>
    <mergeCell ref="I100:K100"/>
    <mergeCell ref="L100:M100"/>
    <mergeCell ref="N100:O100"/>
    <mergeCell ref="I101:K101"/>
    <mergeCell ref="L101:M101"/>
    <mergeCell ref="N101:O101"/>
    <mergeCell ref="I102:K102"/>
    <mergeCell ref="L105:M105"/>
    <mergeCell ref="N105:O105"/>
    <mergeCell ref="I103:K103"/>
    <mergeCell ref="L103:M103"/>
    <mergeCell ref="N103:O103"/>
    <mergeCell ref="I104:K104"/>
    <mergeCell ref="L104:M104"/>
    <mergeCell ref="N104:O104"/>
    <mergeCell ref="I105:K105"/>
    <mergeCell ref="L108:M108"/>
    <mergeCell ref="N108:O108"/>
    <mergeCell ref="I106:K106"/>
    <mergeCell ref="L106:M106"/>
    <mergeCell ref="N106:O106"/>
    <mergeCell ref="I107:K107"/>
    <mergeCell ref="L107:M107"/>
    <mergeCell ref="N107:O107"/>
    <mergeCell ref="I108:K108"/>
    <mergeCell ref="L111:M111"/>
    <mergeCell ref="N111:O111"/>
    <mergeCell ref="I109:K109"/>
    <mergeCell ref="L109:M109"/>
    <mergeCell ref="N109:O109"/>
    <mergeCell ref="I110:K110"/>
    <mergeCell ref="L110:M110"/>
    <mergeCell ref="N110:O110"/>
    <mergeCell ref="I111:K111"/>
    <mergeCell ref="L114:M114"/>
    <mergeCell ref="N114:O114"/>
    <mergeCell ref="I112:K112"/>
    <mergeCell ref="L112:M112"/>
    <mergeCell ref="N112:O112"/>
    <mergeCell ref="I113:K113"/>
    <mergeCell ref="L113:M113"/>
    <mergeCell ref="N113:O113"/>
    <mergeCell ref="I114:K114"/>
    <mergeCell ref="L117:M117"/>
    <mergeCell ref="N117:O117"/>
    <mergeCell ref="I115:K115"/>
    <mergeCell ref="L115:M115"/>
    <mergeCell ref="N115:O115"/>
    <mergeCell ref="I116:K116"/>
    <mergeCell ref="L116:M116"/>
    <mergeCell ref="N116:O116"/>
    <mergeCell ref="I117:K117"/>
    <mergeCell ref="L120:M120"/>
    <mergeCell ref="N120:O120"/>
    <mergeCell ref="I118:K118"/>
    <mergeCell ref="L118:M118"/>
    <mergeCell ref="N118:O118"/>
    <mergeCell ref="I119:K119"/>
    <mergeCell ref="L119:M119"/>
    <mergeCell ref="N119:O119"/>
    <mergeCell ref="I120:K120"/>
  </mergeCells>
  <conditionalFormatting sqref="C18:G248">
    <cfRule type="cellIs" dxfId="0" priority="1" stopIfTrue="1" operator="equal">
      <formula>"Borrar"</formula>
    </cfRule>
  </conditionalFormatting>
  <conditionalFormatting sqref="I18:I138">
    <cfRule type="cellIs" dxfId="0" priority="2" stopIfTrue="1" operator="equal">
      <formula>"Pago mayor"</formula>
    </cfRule>
  </conditionalFormatting>
  <conditionalFormatting sqref="I19:I138">
    <cfRule type="cellIs" dxfId="1" priority="3" stopIfTrue="1" operator="equal">
      <formula>"Cancelado"</formula>
    </cfRule>
  </conditionalFormatting>
  <printOptions/>
  <pageMargins bottom="0.75" footer="0.0" header="0.0" left="0.7" right="0.7" top="0.75"/>
  <pageSetup orientation="landscape"/>
  <drawing r:id="rId2"/>
  <legacyDrawing r:id="rId3"/>
</worksheet>
</file>